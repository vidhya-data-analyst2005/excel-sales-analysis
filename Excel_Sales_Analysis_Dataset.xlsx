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9d679e20743816dc/Desktop/Projects/excel/"/>
    </mc:Choice>
  </mc:AlternateContent>
  <xr:revisionPtr revIDLastSave="0" documentId="14_{6BE44C30-8141-43BD-91E1-6D0B465CDE08}" xr6:coauthVersionLast="47" xr6:coauthVersionMax="47" xr10:uidLastSave="{00000000-0000-0000-0000-000000000000}"/>
  <bookViews>
    <workbookView xWindow="-110" yWindow="-110" windowWidth="19420" windowHeight="10300" firstSheet="1" activeTab="1" xr2:uid="{00000000-000D-0000-FFFF-FFFF00000000}"/>
  </bookViews>
  <sheets>
    <sheet name="Pivot table" sheetId="7" r:id="rId1"/>
    <sheet name="Raw_Data" sheetId="1" r:id="rId2"/>
    <sheet name="dashoards" sheetId="12" r:id="rId3"/>
    <sheet name="insights" sheetId="5" r:id="rId4"/>
    <sheet name="charts" sheetId="13" r:id="rId5"/>
  </sheets>
  <definedNames>
    <definedName name="_xlnm._FilterDatabase" localSheetId="1" hidden="1">Raw_Data!$A$1:$K$501</definedName>
    <definedName name="Slicer_Category">#N/A</definedName>
    <definedName name="Slicer_Category1">#N/A</definedName>
    <definedName name="Slicer_Category2">#N/A</definedName>
    <definedName name="Slicer_Month">#N/A</definedName>
    <definedName name="Slicer_Month1">#N/A</definedName>
    <definedName name="Slicer_Product">#N/A</definedName>
    <definedName name="Slicer_Product1">#N/A</definedName>
    <definedName name="Slicer_Region1">#N/A</definedName>
    <definedName name="Slicer_Region2">#N/A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1" l="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3" i="1"/>
  <c r="K4" i="1"/>
  <c r="K5" i="1"/>
  <c r="K6" i="1"/>
  <c r="K7" i="1"/>
  <c r="K8" i="1"/>
  <c r="K9" i="1"/>
  <c r="K10" i="1"/>
  <c r="K11" i="1"/>
  <c r="K12" i="1"/>
  <c r="K2" i="1"/>
  <c r="J2"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3" i="1"/>
  <c r="J4" i="1"/>
  <c r="J5" i="1"/>
  <c r="J6" i="1"/>
  <c r="J7" i="1"/>
  <c r="J8" i="1"/>
  <c r="J9" i="1"/>
  <c r="J10" i="1"/>
  <c r="J11" i="1"/>
  <c r="J12" i="1"/>
  <c r="J13" i="1"/>
  <c r="J14" i="1"/>
  <c r="J15" i="1"/>
  <c r="J16" i="1"/>
  <c r="J17" i="1"/>
  <c r="J18" i="1"/>
  <c r="J19" i="1"/>
  <c r="J20" i="1"/>
</calcChain>
</file>

<file path=xl/sharedStrings.xml><?xml version="1.0" encoding="utf-8"?>
<sst xmlns="http://schemas.openxmlformats.org/spreadsheetml/2006/main" count="2681" uniqueCount="586">
  <si>
    <t>Order ID</t>
  </si>
  <si>
    <t>Order Date</t>
  </si>
  <si>
    <t>Customer Name</t>
  </si>
  <si>
    <t>Product</t>
  </si>
  <si>
    <t>Category</t>
  </si>
  <si>
    <t>Region</t>
  </si>
  <si>
    <t>Quantity</t>
  </si>
  <si>
    <t>Unit Price</t>
  </si>
  <si>
    <t>Sales</t>
  </si>
  <si>
    <t>ORD0001</t>
  </si>
  <si>
    <t>Meena R</t>
  </si>
  <si>
    <t>Backpack</t>
  </si>
  <si>
    <t>Bags</t>
  </si>
  <si>
    <t>Coimbatore</t>
  </si>
  <si>
    <t>ORD0002</t>
  </si>
  <si>
    <t>Karthik R</t>
  </si>
  <si>
    <t>Tablet</t>
  </si>
  <si>
    <t>Electronics</t>
  </si>
  <si>
    <t>Trichy</t>
  </si>
  <si>
    <t>ORD0003</t>
  </si>
  <si>
    <t>Monitor</t>
  </si>
  <si>
    <t>ORD0004</t>
  </si>
  <si>
    <t>Deepa S</t>
  </si>
  <si>
    <t>Desk</t>
  </si>
  <si>
    <t>Furniture</t>
  </si>
  <si>
    <t>Madurai</t>
  </si>
  <si>
    <t>ORD0005</t>
  </si>
  <si>
    <t>Sneha K</t>
  </si>
  <si>
    <t>Headphones</t>
  </si>
  <si>
    <t>Accessories</t>
  </si>
  <si>
    <t>ORD0006</t>
  </si>
  <si>
    <t>Divya M</t>
  </si>
  <si>
    <t>Mouse</t>
  </si>
  <si>
    <t>Chennai</t>
  </si>
  <si>
    <t>ORD0007</t>
  </si>
  <si>
    <t>Aishwarya K</t>
  </si>
  <si>
    <t>Salem</t>
  </si>
  <si>
    <t>ORD0008</t>
  </si>
  <si>
    <t>Naveen M</t>
  </si>
  <si>
    <t>Laptop</t>
  </si>
  <si>
    <t>ORD0009</t>
  </si>
  <si>
    <t>Keerthana S</t>
  </si>
  <si>
    <t>Office Chair</t>
  </si>
  <si>
    <t>ORD0010</t>
  </si>
  <si>
    <t>ORD0011</t>
  </si>
  <si>
    <t>Suresh K</t>
  </si>
  <si>
    <t>Mobile</t>
  </si>
  <si>
    <t>ORD0012</t>
  </si>
  <si>
    <t>Vijay S</t>
  </si>
  <si>
    <t>ORD0013</t>
  </si>
  <si>
    <t>Notebook</t>
  </si>
  <si>
    <t>Stationery</t>
  </si>
  <si>
    <t>ORD0014</t>
  </si>
  <si>
    <t>ORD0015</t>
  </si>
  <si>
    <t>ORD0016</t>
  </si>
  <si>
    <t>Manoj V</t>
  </si>
  <si>
    <t>ORD0017</t>
  </si>
  <si>
    <t>Dinesh K</t>
  </si>
  <si>
    <t>ORD0018</t>
  </si>
  <si>
    <t>Keyboard</t>
  </si>
  <si>
    <t>ORD0019</t>
  </si>
  <si>
    <t>ORD0020</t>
  </si>
  <si>
    <t>Priya S</t>
  </si>
  <si>
    <t>ORD0021</t>
  </si>
  <si>
    <t>Pavithra R</t>
  </si>
  <si>
    <t>ORD0022</t>
  </si>
  <si>
    <t>Gokul R</t>
  </si>
  <si>
    <t>ORD0023</t>
  </si>
  <si>
    <t>ORD0024</t>
  </si>
  <si>
    <t>ORD0025</t>
  </si>
  <si>
    <t>ORD0026</t>
  </si>
  <si>
    <t>ORD0027</t>
  </si>
  <si>
    <t>ORD0028</t>
  </si>
  <si>
    <t>ORD0029</t>
  </si>
  <si>
    <t>ORD0030</t>
  </si>
  <si>
    <t>Rahul P</t>
  </si>
  <si>
    <t>ORD0031</t>
  </si>
  <si>
    <t>ORD0032</t>
  </si>
  <si>
    <t>ORD0033</t>
  </si>
  <si>
    <t>ORD0034</t>
  </si>
  <si>
    <t>Arun Kumar</t>
  </si>
  <si>
    <t>ORD0035</t>
  </si>
  <si>
    <t>ORD0036</t>
  </si>
  <si>
    <t>ORD0037</t>
  </si>
  <si>
    <t>ORD0038</t>
  </si>
  <si>
    <t>Swetha P</t>
  </si>
  <si>
    <t>ORD0039</t>
  </si>
  <si>
    <t>ORD0040</t>
  </si>
  <si>
    <t>ORD0041</t>
  </si>
  <si>
    <t>ORD0042</t>
  </si>
  <si>
    <t>ORD0043</t>
  </si>
  <si>
    <t>Printer</t>
  </si>
  <si>
    <t>ORD0044</t>
  </si>
  <si>
    <t>ORD0045</t>
  </si>
  <si>
    <t>ORD0046</t>
  </si>
  <si>
    <t>ORD0047</t>
  </si>
  <si>
    <t>ORD0048</t>
  </si>
  <si>
    <t>ORD0049</t>
  </si>
  <si>
    <t>ORD0050</t>
  </si>
  <si>
    <t>ORD0051</t>
  </si>
  <si>
    <t>ORD0052</t>
  </si>
  <si>
    <t>ORD0053</t>
  </si>
  <si>
    <t>Hari V</t>
  </si>
  <si>
    <t>ORD0054</t>
  </si>
  <si>
    <t>ORD0055</t>
  </si>
  <si>
    <t>ORD0056</t>
  </si>
  <si>
    <t>ORD0057</t>
  </si>
  <si>
    <t>ORD0058</t>
  </si>
  <si>
    <t>ORD0059</t>
  </si>
  <si>
    <t>ORD0060</t>
  </si>
  <si>
    <t>ORD0061</t>
  </si>
  <si>
    <t>Anitha P</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</si>
  <si>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</si>
  <si>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</si>
  <si>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</si>
  <si>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</si>
  <si>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</si>
  <si>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</si>
  <si>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</si>
  <si>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</si>
  <si>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</si>
  <si>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</si>
  <si>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</si>
  <si>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</si>
  <si>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</si>
  <si>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</si>
  <si>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</si>
  <si>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</si>
  <si>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</si>
  <si>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</si>
  <si>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</si>
  <si>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</si>
  <si>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</si>
  <si>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</si>
  <si>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</si>
  <si>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</si>
  <si>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</si>
  <si>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</si>
  <si>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</si>
  <si>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</si>
  <si>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</si>
  <si>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</si>
  <si>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</si>
  <si>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</si>
  <si>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</si>
  <si>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</si>
  <si>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</si>
  <si>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</si>
  <si>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</si>
  <si>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</si>
  <si>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</si>
  <si>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</si>
  <si>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</si>
  <si>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</si>
  <si>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</si>
  <si>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</si>
  <si>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</si>
  <si>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</si>
  <si>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</si>
  <si>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</si>
  <si>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</si>
  <si>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</si>
  <si>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</si>
  <si>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</si>
  <si>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</si>
  <si>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</si>
  <si>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</si>
  <si>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</si>
  <si>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</si>
  <si>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</si>
  <si>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</si>
  <si>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</si>
  <si>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</si>
  <si>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</si>
  <si>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</si>
  <si>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</si>
  <si>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</si>
  <si>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</si>
  <si>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</si>
  <si>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</si>
  <si>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</si>
  <si>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</si>
  <si>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</si>
  <si>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</si>
  <si>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</si>
  <si>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</si>
  <si>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</si>
  <si>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</si>
  <si>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</si>
  <si>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</si>
  <si>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</si>
  <si>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</si>
  <si>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</si>
  <si>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</si>
  <si>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</si>
  <si>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</si>
  <si>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</si>
  <si>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</si>
  <si>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</si>
  <si>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</si>
  <si>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</si>
  <si>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</si>
  <si>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</si>
  <si>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</si>
  <si>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</si>
  <si>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</si>
  <si>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</si>
  <si>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</si>
  <si>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</si>
  <si>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</si>
  <si>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</si>
  <si>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</si>
  <si>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</si>
  <si>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</si>
  <si>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</si>
  <si>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</si>
  <si>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</si>
  <si>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</si>
  <si>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</si>
  <si>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</si>
  <si>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</si>
  <si>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</si>
  <si>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</si>
  <si>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</si>
  <si>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</si>
  <si>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</si>
  <si>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</si>
  <si>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</si>
  <si>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</si>
  <si>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</si>
  <si>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</si>
  <si>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</si>
  <si>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</si>
  <si>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</si>
  <si>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</si>
  <si>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</si>
  <si>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</si>
  <si>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</si>
  <si>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</si>
  <si>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</si>
  <si>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</si>
  <si>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</si>
  <si>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</si>
  <si>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</si>
  <si>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</si>
  <si>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</si>
  <si>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</si>
  <si>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</si>
  <si>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</si>
  <si>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</si>
  <si>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</si>
  <si>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</si>
  <si>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</si>
  <si>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</si>
  <si>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</si>
  <si>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</si>
  <si>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</si>
  <si>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</si>
  <si>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</si>
  <si>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</si>
  <si>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</si>
  <si>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</si>
  <si>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</si>
  <si>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</si>
  <si>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</si>
  <si>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</si>
  <si>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</si>
  <si>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</si>
  <si>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</si>
  <si>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</si>
  <si>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</si>
  <si>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</si>
  <si>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</si>
  <si>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</si>
  <si>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</si>
  <si>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</si>
  <si>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</si>
  <si>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</si>
  <si>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</si>
  <si>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</si>
  <si>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</si>
  <si>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</si>
  <si>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</si>
  <si>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</si>
  <si>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</si>
  <si>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</si>
  <si>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</si>
  <si>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</si>
  <si>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</si>
  <si>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</si>
  <si>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</si>
  <si>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</si>
  <si>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</si>
  <si>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</si>
  <si>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</si>
  <si>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</si>
  <si>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</si>
  <si>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</si>
  <si>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</si>
  <si>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</si>
  <si>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</si>
  <si>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</si>
  <si>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</si>
  <si>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</si>
  <si>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</si>
  <si>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</si>
  <si>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</si>
  <si>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</si>
  <si>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</si>
  <si>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</si>
  <si>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</si>
  <si>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</si>
  <si>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</si>
  <si>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</si>
  <si>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</si>
  <si>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</si>
  <si>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</si>
  <si>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</si>
  <si>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</si>
  <si>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</si>
  <si>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</si>
  <si>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</si>
  <si>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</si>
  <si>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</si>
  <si>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</si>
  <si>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</si>
  <si>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</si>
  <si>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</si>
  <si>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</si>
  <si>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</si>
  <si>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</si>
  <si>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</si>
  <si>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</si>
  <si>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</si>
  <si>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</si>
  <si>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</si>
  <si>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</si>
  <si>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</si>
  <si>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</si>
  <si>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</si>
  <si>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</si>
  <si>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</si>
  <si>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</si>
  <si>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</si>
  <si>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</si>
  <si>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</si>
  <si>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</si>
  <si>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</si>
  <si>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</si>
  <si>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</si>
  <si>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</si>
  <si>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</si>
  <si>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</si>
  <si>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</si>
  <si>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</si>
  <si>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</si>
  <si>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</si>
  <si>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</si>
  <si>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</si>
  <si>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</si>
  <si>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</si>
  <si>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</si>
  <si>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</si>
  <si>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</si>
  <si>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</si>
  <si>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</si>
  <si>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</si>
  <si>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</si>
  <si>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</si>
  <si>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</si>
  <si>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</si>
  <si>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</si>
  <si>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</si>
  <si>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</si>
  <si>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</si>
  <si>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</si>
  <si>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</si>
  <si>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</si>
  <si>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</si>
  <si>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</si>
  <si>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</si>
  <si>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</si>
  <si>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</si>
  <si>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</si>
  <si>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</si>
  <si>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</si>
  <si>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</si>
  <si>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</si>
  <si>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</si>
  <si>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</si>
  <si>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</si>
  <si>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</si>
  <si>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</si>
  <si>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</si>
  <si>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</si>
  <si>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</si>
  <si>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</si>
  <si>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</si>
  <si>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</si>
  <si>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</si>
  <si>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</si>
  <si>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</si>
  <si>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</si>
  <si>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</si>
  <si>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</si>
  <si>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</si>
  <si>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</si>
  <si>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</si>
  <si>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</si>
  <si>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</si>
  <si>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</si>
  <si>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</si>
  <si>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</si>
  <si>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</si>
  <si>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</si>
  <si>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</si>
  <si>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</si>
  <si>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</si>
  <si>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</si>
  <si>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</si>
  <si>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</si>
  <si>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</si>
  <si>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</si>
  <si>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</si>
  <si>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</si>
  <si>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</si>
  <si>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</si>
  <si>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</si>
  <si>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</si>
  <si>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</si>
  <si>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</si>
  <si>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</si>
  <si>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</si>
  <si>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</si>
  <si>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</si>
  <si>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</si>
  <si>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</si>
  <si>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</si>
  <si>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</si>
  <si>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</si>
  <si>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</si>
  <si>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</si>
  <si>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</si>
  <si>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</si>
  <si>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</si>
  <si>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</si>
  <si>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</si>
  <si>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</si>
  <si>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</si>
  <si>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</si>
  <si>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</si>
  <si>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</si>
  <si>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</si>
  <si>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</si>
  <si>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</si>
  <si>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</si>
  <si>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</si>
  <si>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</si>
  <si>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</si>
  <si>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</si>
  <si>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</si>
  <si>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</si>
  <si>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</si>
  <si>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</si>
  <si>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</si>
  <si>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</si>
  <si>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</si>
  <si>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</si>
  <si>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</si>
  <si>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</si>
  <si>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</si>
  <si>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</si>
  <si>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</si>
  <si>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</si>
  <si>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</si>
  <si>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</si>
  <si>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</si>
  <si>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</si>
  <si>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</si>
  <si>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</si>
  <si>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</si>
  <si>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</si>
  <si>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</si>
  <si>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</si>
  <si>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</si>
  <si>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</si>
  <si>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</si>
  <si>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</si>
  <si>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</si>
  <si>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</si>
  <si>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</si>
  <si>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</si>
  <si>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</si>
  <si>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</si>
  <si>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</si>
  <si>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</si>
  <si>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</si>
  <si>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</si>
  <si>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</si>
  <si>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</si>
  <si>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</si>
  <si>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</si>
  <si>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</si>
  <si>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</si>
  <si>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</si>
  <si>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</si>
  <si>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</si>
  <si>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</si>
  <si>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</si>
  <si>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</si>
  <si>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</si>
  <si>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</si>
  <si>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</si>
  <si>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</si>
  <si>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</si>
  <si>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</si>
  <si>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</si>
  <si>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</si>
  <si>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</si>
  <si>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</si>
  <si>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</si>
  <si>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</si>
  <si>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</si>
  <si>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</si>
  <si>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</si>
  <si>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</si>
  <si>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</si>
  <si>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</si>
  <si>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</si>
  <si>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</si>
  <si>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</si>
  <si>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</si>
  <si>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</si>
  <si>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</si>
  <si>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</si>
  <si>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</si>
  <si>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</si>
  <si>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</si>
  <si>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</si>
  <si>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</si>
  <si>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</si>
  <si>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</si>
  <si>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</si>
  <si>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</si>
  <si>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</si>
  <si>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</si>
  <si>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</si>
  <si>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</si>
  <si>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</si>
  <si>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</si>
  <si>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</si>
  <si>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Month</t>
  </si>
  <si>
    <t>Calculate Sales</t>
  </si>
  <si>
    <t>Row Labels</t>
  </si>
  <si>
    <t>Grand Total</t>
  </si>
  <si>
    <t>Sum of Sales</t>
  </si>
  <si>
    <t>Jan</t>
  </si>
  <si>
    <t>Feb</t>
  </si>
  <si>
    <t>Mar</t>
  </si>
  <si>
    <t>Apr</t>
  </si>
  <si>
    <t>May</t>
  </si>
  <si>
    <t>Jun</t>
  </si>
  <si>
    <t>Jul</t>
  </si>
  <si>
    <t>Aug</t>
  </si>
  <si>
    <t>Sep</t>
  </si>
  <si>
    <t>Oct</t>
  </si>
  <si>
    <t>Nov</t>
  </si>
  <si>
    <t>Dec</t>
  </si>
  <si>
    <t xml:space="preserve"> </t>
  </si>
  <si>
    <t>No.</t>
  </si>
  <si>
    <t>Key Insight</t>
  </si>
  <si>
    <r>
      <t xml:space="preserve">Total sales generated were </t>
    </r>
    <r>
      <rPr>
        <b/>
        <sz val="11"/>
        <color theme="1"/>
        <rFont val="Calibri"/>
        <family val="2"/>
        <scheme val="minor"/>
      </rPr>
      <t>₹19,375,149</t>
    </r>
    <r>
      <rPr>
        <sz val="11"/>
        <color theme="1"/>
        <rFont val="Calibri"/>
        <family val="2"/>
        <scheme val="minor"/>
      </rPr>
      <t xml:space="preserve"> from </t>
    </r>
    <r>
      <rPr>
        <b/>
        <sz val="11"/>
        <color theme="1"/>
        <rFont val="Calibri"/>
        <family val="2"/>
        <scheme val="minor"/>
      </rPr>
      <t>500 orders</t>
    </r>
    <r>
      <rPr>
        <sz val="11"/>
        <color theme="1"/>
        <rFont val="Calibri"/>
        <family val="2"/>
        <scheme val="minor"/>
      </rPr>
      <t>.</t>
    </r>
  </si>
  <si>
    <r>
      <t>Laptop</t>
    </r>
    <r>
      <rPr>
        <sz val="11"/>
        <color theme="1"/>
        <rFont val="Calibri"/>
        <family val="2"/>
        <scheme val="minor"/>
      </rPr>
      <t xml:space="preserve"> was the highest-selling product, generating </t>
    </r>
    <r>
      <rPr>
        <b/>
        <sz val="11"/>
        <color theme="1"/>
        <rFont val="Calibri"/>
        <family val="2"/>
        <scheme val="minor"/>
      </rPr>
      <t>₹6,425,463</t>
    </r>
    <r>
      <rPr>
        <sz val="11"/>
        <color theme="1"/>
        <rFont val="Calibri"/>
        <family val="2"/>
        <scheme val="minor"/>
      </rPr>
      <t xml:space="preserve"> in sales.</t>
    </r>
  </si>
  <si>
    <r>
      <t>Electronics</t>
    </r>
    <r>
      <rPr>
        <sz val="11"/>
        <color theme="1"/>
        <rFont val="Calibri"/>
        <family val="2"/>
        <scheme val="minor"/>
      </rPr>
      <t xml:space="preserve"> was the highest-performing category with sales of </t>
    </r>
    <r>
      <rPr>
        <b/>
        <sz val="11"/>
        <color theme="1"/>
        <rFont val="Calibri"/>
        <family val="2"/>
        <scheme val="minor"/>
      </rPr>
      <t>₹16,170,921</t>
    </r>
    <r>
      <rPr>
        <sz val="11"/>
        <color theme="1"/>
        <rFont val="Calibri"/>
        <family val="2"/>
        <scheme val="minor"/>
      </rPr>
      <t>.</t>
    </r>
  </si>
  <si>
    <r>
      <t>Coimbatore</t>
    </r>
    <r>
      <rPr>
        <sz val="11"/>
        <color theme="1"/>
        <rFont val="Calibri"/>
        <family val="2"/>
        <scheme val="minor"/>
      </rPr>
      <t xml:space="preserve"> recorded the highest regional sales at </t>
    </r>
    <r>
      <rPr>
        <b/>
        <sz val="11"/>
        <color theme="1"/>
        <rFont val="Calibri"/>
        <family val="2"/>
        <scheme val="minor"/>
      </rPr>
      <t>₹4,210,035</t>
    </r>
    <r>
      <rPr>
        <sz val="11"/>
        <color theme="1"/>
        <rFont val="Calibri"/>
        <family val="2"/>
        <scheme val="minor"/>
      </rPr>
      <t>.</t>
    </r>
  </si>
  <si>
    <r>
      <t>October</t>
    </r>
    <r>
      <rPr>
        <sz val="11"/>
        <color theme="1"/>
        <rFont val="Calibri"/>
        <family val="2"/>
        <scheme val="minor"/>
      </rPr>
      <t xml:space="preserve"> recorded the highest monthly sales of </t>
    </r>
    <r>
      <rPr>
        <b/>
        <sz val="11"/>
        <color theme="1"/>
        <rFont val="Calibri"/>
        <family val="2"/>
        <scheme val="minor"/>
      </rPr>
      <t>₹2,012,022</t>
    </r>
    <r>
      <rPr>
        <sz val="11"/>
        <color theme="1"/>
        <rFont val="Calibri"/>
        <family val="2"/>
        <scheme val="minor"/>
      </rPr>
      <t>.</t>
    </r>
  </si>
  <si>
    <r>
      <t>April</t>
    </r>
    <r>
      <rPr>
        <sz val="11"/>
        <color theme="1"/>
        <rFont val="Calibri"/>
        <family val="2"/>
        <scheme val="minor"/>
      </rPr>
      <t xml:space="preserve"> recorded the lowest monthly sales of </t>
    </r>
    <r>
      <rPr>
        <b/>
        <sz val="11"/>
        <color theme="1"/>
        <rFont val="Calibri"/>
        <family val="2"/>
        <scheme val="minor"/>
      </rPr>
      <t>₹1,092,208</t>
    </r>
    <r>
      <rPr>
        <sz val="11"/>
        <color theme="1"/>
        <rFont val="Calibri"/>
        <family val="2"/>
        <scheme val="minor"/>
      </rPr>
      <t>.</t>
    </r>
  </si>
  <si>
    <r>
      <t>Priya S</t>
    </r>
    <r>
      <rPr>
        <sz val="11"/>
        <color theme="1"/>
        <rFont val="Calibri"/>
        <family val="2"/>
        <scheme val="minor"/>
      </rPr>
      <t xml:space="preserve"> was the top customer by sales, contributing </t>
    </r>
    <r>
      <rPr>
        <b/>
        <sz val="11"/>
        <color theme="1"/>
        <rFont val="Calibri"/>
        <family val="2"/>
        <scheme val="minor"/>
      </rPr>
      <t>₹1,917,906</t>
    </r>
    <r>
      <rPr>
        <sz val="11"/>
        <color theme="1"/>
        <rFont val="Calibri"/>
        <family val="2"/>
        <scheme val="minor"/>
      </rPr>
      <t>.</t>
    </r>
  </si>
  <si>
    <r>
      <t>Notebook</t>
    </r>
    <r>
      <rPr>
        <sz val="11"/>
        <color theme="1"/>
        <rFont val="Calibri"/>
        <family val="2"/>
        <scheme val="minor"/>
      </rPr>
      <t xml:space="preserve"> had the lowest product sales at </t>
    </r>
    <r>
      <rPr>
        <b/>
        <sz val="11"/>
        <color theme="1"/>
        <rFont val="Calibri"/>
        <family val="2"/>
        <scheme val="minor"/>
      </rPr>
      <t>₹30,436</t>
    </r>
    <r>
      <rPr>
        <sz val="11"/>
        <color theme="1"/>
        <rFont val="Calibri"/>
        <family val="2"/>
        <scheme val="minor"/>
      </rPr>
      <t>.</t>
    </r>
  </si>
  <si>
    <r>
      <t>Salem</t>
    </r>
    <r>
      <rPr>
        <sz val="11"/>
        <color theme="1"/>
        <rFont val="Calibri"/>
        <family val="2"/>
        <scheme val="minor"/>
      </rPr>
      <t xml:space="preserve"> recorded the lowest regional sales at </t>
    </r>
    <r>
      <rPr>
        <b/>
        <sz val="11"/>
        <color theme="1"/>
        <rFont val="Calibri"/>
        <family val="2"/>
        <scheme val="minor"/>
      </rPr>
      <t>₹3,612,981</t>
    </r>
    <r>
      <rPr>
        <sz val="11"/>
        <color theme="1"/>
        <rFont val="Calibri"/>
        <family val="2"/>
        <scheme val="minor"/>
      </rPr>
      <t>.</t>
    </r>
  </si>
  <si>
    <t>Recommendations</t>
  </si>
  <si>
    <t>Focus on high-performing products such as laptops.</t>
  </si>
  <si>
    <t>Analyze customer demand for low-performing products such as notebooks.</t>
  </si>
  <si>
    <t>Study the factors contributing to strong sales in Coimbatore.</t>
  </si>
  <si>
    <t>Investigate the lower sales observed in April and Salem.</t>
  </si>
  <si>
    <t>Use customer-level analysis to identify opportunities for targeted promotions.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</si>
</sst>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409]mmmmm;@"/>
    <numFmt numFmtId="166" formatCode="_(* #,##0_);_(* \(#,##0\);_(* &quot;-&quot;??_);_(@_)"/>
  </numFmts>
  <fonts count="11" x14ac:knownFonts="1">
    <font>
      <sz val="11"/>
      <color theme="1"/>
      <name val="Calibri"/>
      <family val="2"/>
      <scheme val="minor"/>
    </font>
    <font>
      <b/>
      <sz val="11"/>
      <name val="Calibri"/>
    </font>
    <font>
      <b/>
      <sz val="11"/>
      <name val="Calibri"/>
      <family val="2"/>
    </font>
    <font>
      <sz val="11"/>
      <name val="Calibri"/>
      <family val="2"/>
      <scheme val="minor"/>
    </font>
    <font>
      <u/>
      <sz val="11"/>
      <color theme="10"/>
      <name val="Calibri"/>
      <family val="2"/>
      <scheme val="minor"/>
    </font>
    <font>
      <sz val="14"/>
      <color rgb="FF0A0A0A"/>
      <name val="Arial"/>
      <family val="2"/>
    </font>
    <font>
      <sz val="36"/>
      <color rgb="FF0A0A0A"/>
      <name val="Arial"/>
      <family val="2"/>
    </font>
    <font>
      <sz val="14"/>
      <color rgb="FF000000"/>
      <name val="Arial"/>
      <family val="2"/>
    </font>
    <font>
      <b/>
      <sz val="11"/>
      <color theme="1"/>
      <name val="Calibri"/>
      <family val="2"/>
      <scheme val="minor"/>
    </font>
    <font>
      <u/>
      <sz val="7"/>
      <color rgb="FF1A0DAB"/>
      <name val="Arial"/>
      <family val="2"/>
    </font>
    <font>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theme="4" tint="0.39997558519241921"/>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left"/>
    </xf>
    <xf numFmtId="0" fontId="2" fillId="0" borderId="2" xfId="0" applyFont="1" applyBorder="1" applyAlignment="1">
      <alignment horizontal="center" vertical="top"/>
    </xf>
    <xf numFmtId="165" fontId="2" fillId="0" borderId="2" xfId="0" applyNumberFormat="1" applyFont="1" applyBorder="1" applyAlignment="1">
      <alignment horizontal="center" vertical="top"/>
    </xf>
    <xf numFmtId="165" fontId="0" fillId="0" borderId="0" xfId="0" applyNumberFormat="1"/>
    <xf numFmtId="0" fontId="0" fillId="0" borderId="0" xfId="0" pivotButton="1"/>
    <xf numFmtId="166" fontId="0" fillId="0" borderId="0" xfId="0" applyNumberFormat="1"/>
    <xf numFmtId="0" fontId="3" fillId="0" borderId="0" xfId="0" applyFont="1"/>
    <xf numFmtId="0" fontId="0" fillId="2" borderId="0" xfId="0" applyFill="1"/>
    <xf numFmtId="0" fontId="5" fillId="0" borderId="0" xfId="0" applyFont="1"/>
    <xf numFmtId="0" fontId="6" fillId="0" borderId="0" xfId="0" applyFont="1"/>
    <xf numFmtId="0" fontId="7" fillId="0" borderId="0" xfId="0" applyFont="1" applyAlignment="1">
      <alignment vertical="center" wrapText="1"/>
    </xf>
    <xf numFmtId="0" fontId="0" fillId="0" borderId="0" xfId="0" applyAlignment="1">
      <alignment vertical="center" wrapText="1"/>
    </xf>
    <xf numFmtId="0" fontId="4" fillId="0" borderId="0" xfId="1" applyAlignment="1">
      <alignment vertical="center" wrapText="1"/>
    </xf>
    <xf numFmtId="0" fontId="8" fillId="0" borderId="0" xfId="0" applyFont="1" applyAlignment="1">
      <alignment horizontal="center" vertical="center" wrapText="1"/>
    </xf>
    <xf numFmtId="0" fontId="8" fillId="0" borderId="0" xfId="0" applyFont="1"/>
    <xf numFmtId="0" fontId="8" fillId="0" borderId="0" xfId="0" applyFont="1" applyAlignment="1">
      <alignment vertical="center" wrapText="1"/>
    </xf>
    <xf numFmtId="0" fontId="0" fillId="0" borderId="0" xfId="0" applyAlignment="1">
      <alignment horizontal="left" vertical="center" indent="1"/>
    </xf>
    <xf numFmtId="0" fontId="9" fillId="0" borderId="0" xfId="0" applyFont="1" applyAlignment="1">
      <alignment vertical="center" wrapText="1"/>
    </xf>
    <xf numFmtId="0" fontId="10" fillId="0" borderId="0" xfId="0" applyFont="1"/>
    <xf numFmtId="0" fontId="10" fillId="3" borderId="3" xfId="0" applyFont="1" applyFill="1" applyBorder="1"/>
  </cellXfs>
  <cellStyles count="2">
    <cellStyle name="Hyperlink" xfId="1" builtinId="8"/>
    <cellStyle name="Normal" xfId="0" builtinId="0"/>
  </cellStyles>
  <dxfs count="13">
    <dxf>
      <numFmt numFmtId="165" formatCode="[$-409]mmmmm;@"/>
    </dxf>
    <dxf>
      <numFmt numFmtId="164" formatCode="yyyy\-mm\-dd"/>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1" defaultTableStyle="TableStyleMedium9" defaultPivotStyle="PivotStyleLight16">
    <tableStyle name="Slicer Style 1" pivot="0" table="0" count="0" xr9:uid="{C12B55D3-080B-4F5C-B986-2F6774DA2BCB}"/>
  </tableStyles>
  <colors>
    <mruColors>
      <color rgb="FFFF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[Excel_Sales_Analysis_Dataset.xlsx]charts!PivotTable4</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2"/>
                </a:solidFill>
              </a:rPr>
              <a:t>MONTHLY SALES TREND</a:t>
            </a:r>
          </a:p>
          <a:p>
            <a:pPr>
              <a:defRPr/>
            </a:pPr>
            <a:endParaRPr lang="en-US"/>
          </a:p>
        </c:rich>
      </c:tx>
      <c:layout>
        <c:manualLayout>
          <c:xMode val="edge"/>
          <c:yMode val="edge"/>
          <c:x val="0.13777608131393548"/>
          <c:y val="5.9515806792807616E-2"/>
        </c:manualLayout>
      </c:layout>
      <c:overlay val="0"/>
      <c:spPr>
        <a:noFill/>
        <a:ln>
          <a:solidFill>
            <a:schemeClr val="bg1"/>
          </a:solid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50378432612822"/>
          <c:y val="0.28763281277488023"/>
          <c:w val="0.79633934608589441"/>
          <c:h val="0.50942949179111685"/>
        </c:manualLayout>
      </c:layout>
      <c:lineChart>
        <c:grouping val="stacked"/>
        <c:varyColors val="0"/>
        <c:ser>
          <c:idx val="0"/>
          <c:order val="0"/>
          <c:tx>
            <c:strRef>
              <c:f>charts!$E$11</c:f>
              <c:strCache>
                <c:ptCount val="1"/>
                <c:pt idx="0">
                  <c:v>Total</c:v>
                </c:pt>
              </c:strCache>
            </c:strRef>
          </c:tx>
          <c:spPr>
            <a:ln w="34925"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charts!$D$12:$D$24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charts!$E$12:$E$24</c:f>
              <c:numCache>
                <c:formatCode>_(* #,##0_);_(* \(#,##0\);_(* "-"??_);_(@_)</c:formatCode>
                <c:ptCount val="12"/>
                <c:pt idx="0">
                  <c:v>1686496</c:v>
                </c:pt>
                <c:pt idx="1">
                  <c:v>1107503</c:v>
                </c:pt>
                <c:pt idx="2">
                  <c:v>1621402</c:v>
                </c:pt>
                <c:pt idx="3">
                  <c:v>1092208</c:v>
                </c:pt>
                <c:pt idx="4">
                  <c:v>1703089</c:v>
                </c:pt>
                <c:pt idx="5">
                  <c:v>1365995</c:v>
                </c:pt>
                <c:pt idx="6">
                  <c:v>1592219</c:v>
                </c:pt>
                <c:pt idx="7">
                  <c:v>1745408</c:v>
                </c:pt>
                <c:pt idx="8">
                  <c:v>1898693</c:v>
                </c:pt>
                <c:pt idx="9">
                  <c:v>2012022</c:v>
                </c:pt>
                <c:pt idx="10">
                  <c:v>1560933</c:v>
                </c:pt>
                <c:pt idx="11">
                  <c:v>1989181</c:v>
                </c:pt>
              </c:numCache>
            </c:numRef>
          </c:val>
          <c:smooth val="0"/>
          <c:extLst>
            <c:ext xmlns:c16="http://schemas.microsoft.com/office/drawing/2014/chart" uri="{C3380CC4-5D6E-409C-BE32-E72D297353CC}">
              <c16:uniqueId val="{00000000-B9D5-40EC-8C7B-B54A84EA360B}"/>
            </c:ext>
          </c:extLst>
        </c:ser>
        <c:dLbls>
          <c:showLegendKey val="0"/>
          <c:showVal val="0"/>
          <c:showCatName val="0"/>
          <c:showSerName val="0"/>
          <c:showPercent val="0"/>
          <c:showBubbleSize val="0"/>
        </c:dLbls>
        <c:marker val="1"/>
        <c:smooth val="0"/>
        <c:axId val="1206812656"/>
        <c:axId val="732375792"/>
      </c:lineChart>
      <c:catAx>
        <c:axId val="1206812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crossAx val="732375792"/>
        <c:crosses val="autoZero"/>
        <c:auto val="1"/>
        <c:lblAlgn val="ctr"/>
        <c:lblOffset val="100"/>
        <c:noMultiLvlLbl val="0"/>
      </c:catAx>
      <c:valAx>
        <c:axId val="73237579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206812656"/>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[Excel_Sales_Analysis_Dataset.xlsx]charts!PivotTable5</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a:solidFill>
                  <a:schemeClr val="tx2"/>
                </a:solidFill>
              </a:rPr>
              <a:t>TOP 10 CUSTOMERS</a:t>
            </a:r>
          </a:p>
          <a:p>
            <a:pPr>
              <a:defRPr/>
            </a:pPr>
            <a:endParaRPr lang="en-US" sz="1600"/>
          </a:p>
        </c:rich>
      </c:tx>
      <c:layout>
        <c:manualLayout>
          <c:xMode val="edge"/>
          <c:yMode val="edge"/>
          <c:x val="9.4885860817705295E-2"/>
          <c:y val="5.420836779434683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charts!$G$15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charts!$F$16:$F$26</c:f>
              <c:strCache>
                <c:ptCount val="10"/>
                <c:pt idx="0">
                  <c:v>Vijay S</c:v>
                </c:pt>
                <c:pt idx="1">
                  <c:v>Swetha P</c:v>
                </c:pt>
                <c:pt idx="2">
                  <c:v>Dinesh K</c:v>
                </c:pt>
                <c:pt idx="3">
                  <c:v>Divya M</c:v>
                </c:pt>
                <c:pt idx="4">
                  <c:v>Naveen M</c:v>
                </c:pt>
                <c:pt idx="5">
                  <c:v>Gokul R</c:v>
                </c:pt>
                <c:pt idx="6">
                  <c:v>Deepa S</c:v>
                </c:pt>
                <c:pt idx="7">
                  <c:v>Hari V</c:v>
                </c:pt>
                <c:pt idx="8">
                  <c:v>Pavithra R</c:v>
                </c:pt>
                <c:pt idx="9">
                  <c:v>Priya S</c:v>
                </c:pt>
              </c:strCache>
            </c:strRef>
          </c:cat>
          <c:val>
            <c:numRef>
              <c:f>charts!$G$16:$G$26</c:f>
              <c:numCache>
                <c:formatCode>General</c:formatCode>
                <c:ptCount val="10"/>
                <c:pt idx="0">
                  <c:v>943506</c:v>
                </c:pt>
                <c:pt idx="1">
                  <c:v>980527</c:v>
                </c:pt>
                <c:pt idx="2">
                  <c:v>1000226</c:v>
                </c:pt>
                <c:pt idx="3">
                  <c:v>1039383</c:v>
                </c:pt>
                <c:pt idx="4">
                  <c:v>1069831</c:v>
                </c:pt>
                <c:pt idx="5">
                  <c:v>1115708</c:v>
                </c:pt>
                <c:pt idx="6">
                  <c:v>1234509</c:v>
                </c:pt>
                <c:pt idx="7">
                  <c:v>1330072</c:v>
                </c:pt>
                <c:pt idx="8">
                  <c:v>1531999</c:v>
                </c:pt>
                <c:pt idx="9">
                  <c:v>1917906</c:v>
                </c:pt>
              </c:numCache>
            </c:numRef>
          </c:val>
          <c:extLst>
            <c:ext xmlns:c16="http://schemas.microsoft.com/office/drawing/2014/chart" uri="{C3380CC4-5D6E-409C-BE32-E72D297353CC}">
              <c16:uniqueId val="{00000000-7032-4CD7-B327-C7F7079CCC9B}"/>
            </c:ext>
          </c:extLst>
        </c:ser>
        <c:dLbls>
          <c:showLegendKey val="0"/>
          <c:showVal val="0"/>
          <c:showCatName val="0"/>
          <c:showSerName val="0"/>
          <c:showPercent val="0"/>
          <c:showBubbleSize val="0"/>
        </c:dLbls>
        <c:gapWidth val="100"/>
        <c:axId val="1206766720"/>
        <c:axId val="732378192"/>
      </c:barChart>
      <c:catAx>
        <c:axId val="12067667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732378192"/>
        <c:crosses val="autoZero"/>
        <c:auto val="1"/>
        <c:lblAlgn val="ctr"/>
        <c:lblOffset val="100"/>
        <c:noMultiLvlLbl val="0"/>
      </c:catAx>
      <c:valAx>
        <c:axId val="732378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206766720"/>
        <c:crosses val="autoZero"/>
        <c:crossBetween val="between"/>
      </c:valAx>
      <c:spPr>
        <a:solidFill>
          <a:schemeClr val="bg1"/>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[Excel_Sales_Analysis_Dataset.xlsx]charts!PivotTable2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CATEGORY</a:t>
            </a:r>
          </a:p>
          <a:p>
            <a:pPr>
              <a:defRPr/>
            </a:pPr>
            <a:endParaRPr lang="en-US"/>
          </a:p>
        </c:rich>
      </c:tx>
      <c:layout>
        <c:manualLayout>
          <c:xMode val="edge"/>
          <c:yMode val="edge"/>
          <c:x val="8.3512991283003948E-2"/>
          <c:y val="5.0358704522478412E-2"/>
        </c:manualLayout>
      </c:layout>
      <c:overlay val="0"/>
      <c:spPr>
        <a:noFill/>
        <a:ln>
          <a:solidFill>
            <a:schemeClr val="bg1"/>
          </a:solid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800" b="0" i="0" u="none" strike="noStrike" kern="1200" baseline="0">
                  <a:ln cmpd="sng">
                    <a:solidFill>
                      <a:schemeClr val="tx1">
                        <a:lumMod val="85000"/>
                        <a:lumOff val="15000"/>
                      </a:schemeClr>
                    </a:solidFill>
                  </a:ln>
                  <a:solidFill>
                    <a:schemeClr val="tx1">
                      <a:lumMod val="50000"/>
                      <a:lumOff val="50000"/>
                    </a:schemeClr>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3603177656364538"/>
              <c:y val="-0.20709165318548886"/>
            </c:manualLayout>
          </c:layout>
          <c:spPr>
            <a:noFill/>
            <a:ln>
              <a:solidFill>
                <a:schemeClr val="bg1"/>
              </a:solidFill>
            </a:ln>
            <a:effectLst/>
          </c:spPr>
          <c:txPr>
            <a:bodyPr rot="0" spcFirstLastPara="1" vertOverflow="ellipsis" vert="horz" wrap="square" lIns="38100" tIns="19050" rIns="38100" bIns="19050" anchor="ctr" anchorCtr="1">
              <a:noAutofit/>
            </a:bodyPr>
            <a:lstStyle/>
            <a:p>
              <a:pPr>
                <a:defRPr sz="1800" b="0" i="0" u="none" strike="noStrike" kern="1200" baseline="0">
                  <a:ln cmpd="sng">
                    <a:solidFill>
                      <a:schemeClr val="tx1">
                        <a:lumMod val="85000"/>
                        <a:lumOff val="15000"/>
                      </a:schemeClr>
                    </a:solidFill>
                  </a:ln>
                  <a:solidFill>
                    <a:schemeClr val="tx1">
                      <a:lumMod val="50000"/>
                      <a:lumOff val="50000"/>
                    </a:schemeClr>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15:layout>
                <c:manualLayout>
                  <c:w val="0.13166883790105519"/>
                  <c:h val="0.10473048163514784"/>
                </c:manualLayout>
              </c15:layout>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7692017221929446"/>
              <c:y val="-4.3636388624989905E-2"/>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800" b="0" i="0" u="none" strike="noStrike" kern="1200" baseline="0">
                  <a:ln cmpd="sng">
                    <a:solidFill>
                      <a:schemeClr val="tx1">
                        <a:lumMod val="85000"/>
                        <a:lumOff val="15000"/>
                      </a:schemeClr>
                    </a:solidFill>
                  </a:ln>
                  <a:solidFill>
                    <a:schemeClr val="tx1">
                      <a:lumMod val="50000"/>
                      <a:lumOff val="50000"/>
                    </a:schemeClr>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21442359294723129"/>
              <c:y val="2.484965981885745E-2"/>
            </c:manualLayout>
          </c:layout>
          <c:spPr>
            <a:noFill/>
            <a:ln>
              <a:solidFill>
                <a:schemeClr val="bg1"/>
              </a:solidFill>
            </a:ln>
            <a:effectLst/>
          </c:spPr>
          <c:txPr>
            <a:bodyPr rot="0" spcFirstLastPara="1" vertOverflow="ellipsis" vert="horz" wrap="square" lIns="38100" tIns="19050" rIns="38100" bIns="19050" anchor="ctr" anchorCtr="1">
              <a:noAutofit/>
            </a:bodyPr>
            <a:lstStyle/>
            <a:p>
              <a:pPr>
                <a:defRPr sz="1800" b="0" i="0" u="none" strike="noStrike" kern="1200" baseline="0">
                  <a:ln cmpd="sng">
                    <a:solidFill>
                      <a:schemeClr val="tx1">
                        <a:lumMod val="85000"/>
                        <a:lumOff val="15000"/>
                      </a:schemeClr>
                    </a:solidFill>
                  </a:ln>
                  <a:solidFill>
                    <a:schemeClr val="tx1">
                      <a:lumMod val="50000"/>
                      <a:lumOff val="50000"/>
                    </a:schemeClr>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15:layout>
                <c:manualLayout>
                  <c:w val="0.18458767177562491"/>
                  <c:h val="8.9402354749305454E-2"/>
                </c:manualLayout>
              </c15:layout>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7.5285179667784877E-2"/>
              <c:y val="-0.1145455201405985"/>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800" b="0" i="0" u="none" strike="noStrike" kern="1200" baseline="0">
                  <a:ln cmpd="sng">
                    <a:solidFill>
                      <a:schemeClr val="tx1">
                        <a:lumMod val="85000"/>
                        <a:lumOff val="15000"/>
                      </a:schemeClr>
                    </a:solidFill>
                  </a:ln>
                  <a:solidFill>
                    <a:schemeClr val="tx1">
                      <a:lumMod val="50000"/>
                      <a:lumOff val="50000"/>
                    </a:schemeClr>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2585553900335464E-2"/>
              <c:y val="-0.16363645734371216"/>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800" b="0" i="0" u="none" strike="noStrike" kern="1200" baseline="0">
                  <a:ln cmpd="sng">
                    <a:solidFill>
                      <a:schemeClr val="tx1">
                        <a:lumMod val="85000"/>
                        <a:lumOff val="15000"/>
                      </a:schemeClr>
                    </a:solidFill>
                  </a:ln>
                  <a:solidFill>
                    <a:schemeClr val="tx1">
                      <a:lumMod val="50000"/>
                      <a:lumOff val="50000"/>
                    </a:schemeClr>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6431438614962605"/>
          <c:y val="0.31138752600732356"/>
          <c:w val="0.32456514485998988"/>
          <c:h val="0.53637120032741437"/>
        </c:manualLayout>
      </c:layout>
      <c:doughnutChart>
        <c:varyColors val="1"/>
        <c:ser>
          <c:idx val="0"/>
          <c:order val="0"/>
          <c:tx>
            <c:strRef>
              <c:f>charts!$E$3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471-47BB-B9E4-1ECE558DB25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6471-47BB-B9E4-1ECE558DB25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6471-47BB-B9E4-1ECE558DB25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6471-47BB-B9E4-1ECE558DB25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6471-47BB-B9E4-1ECE558DB254}"/>
              </c:ext>
            </c:extLst>
          </c:dPt>
          <c:dLbls>
            <c:dLbl>
              <c:idx val="0"/>
              <c:layout>
                <c:manualLayout>
                  <c:x val="0.23603177656364538"/>
                  <c:y val="-0.20709165318548886"/>
                </c:manualLayout>
              </c:layout>
              <c:spPr>
                <a:noFill/>
                <a:ln>
                  <a:solidFill>
                    <a:schemeClr val="bg1"/>
                  </a:solidFill>
                </a:ln>
                <a:effectLst/>
              </c:spPr>
              <c:txPr>
                <a:bodyPr rot="0" spcFirstLastPara="1" vertOverflow="ellipsis" vert="horz" wrap="square" lIns="38100" tIns="19050" rIns="38100" bIns="19050" anchor="ctr" anchorCtr="1">
                  <a:noAutofit/>
                </a:bodyPr>
                <a:lstStyle/>
                <a:p>
                  <a:pPr>
                    <a:defRPr sz="1800" b="0" i="0" u="none" strike="noStrike" kern="1200" baseline="0">
                      <a:ln cmpd="sng">
                        <a:solidFill>
                          <a:schemeClr val="tx1">
                            <a:lumMod val="85000"/>
                            <a:lumOff val="15000"/>
                          </a:schemeClr>
                        </a:solidFill>
                      </a:ln>
                      <a:solidFill>
                        <a:schemeClr val="tx1">
                          <a:lumMod val="50000"/>
                          <a:lumOff val="50000"/>
                        </a:schemeClr>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15:layout>
                    <c:manualLayout>
                      <c:w val="0.13166883790105519"/>
                      <c:h val="0.10473048163514784"/>
                    </c:manualLayout>
                  </c15:layout>
                </c:ext>
                <c:ext xmlns:c16="http://schemas.microsoft.com/office/drawing/2014/chart" uri="{C3380CC4-5D6E-409C-BE32-E72D297353CC}">
                  <c16:uniqueId val="{00000001-6471-47BB-B9E4-1ECE558DB254}"/>
                </c:ext>
              </c:extLst>
            </c:dLbl>
            <c:dLbl>
              <c:idx val="1"/>
              <c:layout>
                <c:manualLayout>
                  <c:x val="0.17692017221929446"/>
                  <c:y val="-4.3636388624989905E-2"/>
                </c:manualLayout>
              </c:layout>
              <c:showLegendKey val="1"/>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471-47BB-B9E4-1ECE558DB254}"/>
                </c:ext>
              </c:extLst>
            </c:dLbl>
            <c:dLbl>
              <c:idx val="2"/>
              <c:layout>
                <c:manualLayout>
                  <c:x val="0.21442359294723129"/>
                  <c:y val="2.484965981885745E-2"/>
                </c:manualLayout>
              </c:layout>
              <c:spPr>
                <a:noFill/>
                <a:ln>
                  <a:solidFill>
                    <a:schemeClr val="bg1"/>
                  </a:solidFill>
                </a:ln>
                <a:effectLst/>
              </c:spPr>
              <c:txPr>
                <a:bodyPr rot="0" spcFirstLastPara="1" vertOverflow="ellipsis" vert="horz" wrap="square" lIns="38100" tIns="19050" rIns="38100" bIns="19050" anchor="ctr" anchorCtr="1">
                  <a:noAutofit/>
                </a:bodyPr>
                <a:lstStyle/>
                <a:p>
                  <a:pPr>
                    <a:defRPr sz="1800" b="0" i="0" u="none" strike="noStrike" kern="1200" baseline="0">
                      <a:ln cmpd="sng">
                        <a:solidFill>
                          <a:schemeClr val="tx1">
                            <a:lumMod val="85000"/>
                            <a:lumOff val="15000"/>
                          </a:schemeClr>
                        </a:solidFill>
                      </a:ln>
                      <a:solidFill>
                        <a:schemeClr val="tx1">
                          <a:lumMod val="50000"/>
                          <a:lumOff val="50000"/>
                        </a:schemeClr>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15:layout>
                    <c:manualLayout>
                      <c:w val="0.18458767177562491"/>
                      <c:h val="8.9402354749305454E-2"/>
                    </c:manualLayout>
                  </c15:layout>
                </c:ext>
                <c:ext xmlns:c16="http://schemas.microsoft.com/office/drawing/2014/chart" uri="{C3380CC4-5D6E-409C-BE32-E72D297353CC}">
                  <c16:uniqueId val="{00000005-6471-47BB-B9E4-1ECE558DB254}"/>
                </c:ext>
              </c:extLst>
            </c:dLbl>
            <c:dLbl>
              <c:idx val="3"/>
              <c:layout>
                <c:manualLayout>
                  <c:x val="-7.5285179667784877E-2"/>
                  <c:y val="-0.1145455201405985"/>
                </c:manualLayout>
              </c:layout>
              <c:showLegendKey val="1"/>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6471-47BB-B9E4-1ECE558DB254}"/>
                </c:ext>
              </c:extLst>
            </c:dLbl>
            <c:dLbl>
              <c:idx val="4"/>
              <c:layout>
                <c:manualLayout>
                  <c:x val="2.2585553900335464E-2"/>
                  <c:y val="-0.16363645734371216"/>
                </c:manualLayout>
              </c:layout>
              <c:showLegendKey val="1"/>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6471-47BB-B9E4-1ECE558DB254}"/>
                </c:ext>
              </c:extLst>
            </c:dLbl>
            <c:spPr>
              <a:noFill/>
              <a:ln>
                <a:solidFill>
                  <a:schemeClr val="bg1"/>
                </a:solidFill>
              </a:ln>
              <a:effectLst/>
            </c:spPr>
            <c:txPr>
              <a:bodyPr rot="0" spcFirstLastPara="1" vertOverflow="ellipsis" vert="horz" wrap="square" lIns="38100" tIns="19050" rIns="38100" bIns="19050" anchor="ctr" anchorCtr="1">
                <a:spAutoFit/>
              </a:bodyPr>
              <a:lstStyle/>
              <a:p>
                <a:pPr>
                  <a:defRPr sz="1800" b="0" i="0" u="none" strike="noStrike" kern="1200" baseline="0">
                    <a:ln cmpd="sng">
                      <a:solidFill>
                        <a:schemeClr val="tx1">
                          <a:lumMod val="85000"/>
                          <a:lumOff val="15000"/>
                        </a:schemeClr>
                      </a:solidFill>
                    </a:ln>
                    <a:solidFill>
                      <a:schemeClr val="tx1">
                        <a:lumMod val="50000"/>
                        <a:lumOff val="50000"/>
                      </a:schemeClr>
                    </a:solidFill>
                    <a:latin typeface="+mn-lt"/>
                    <a:ea typeface="+mn-ea"/>
                    <a:cs typeface="+mn-cs"/>
                  </a:defRPr>
                </a:pPr>
                <a:endParaRPr lang="en-US"/>
              </a:p>
            </c:txPr>
            <c:showLegendKey val="1"/>
            <c:showVal val="0"/>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charts!$D$4:$D$9</c:f>
              <c:strCache>
                <c:ptCount val="5"/>
                <c:pt idx="0">
                  <c:v>Accessories</c:v>
                </c:pt>
                <c:pt idx="1">
                  <c:v>Bags</c:v>
                </c:pt>
                <c:pt idx="2">
                  <c:v>Electronics</c:v>
                </c:pt>
                <c:pt idx="3">
                  <c:v>Furniture</c:v>
                </c:pt>
                <c:pt idx="4">
                  <c:v>Stationery</c:v>
                </c:pt>
              </c:strCache>
            </c:strRef>
          </c:cat>
          <c:val>
            <c:numRef>
              <c:f>charts!$E$4:$E$9</c:f>
              <c:numCache>
                <c:formatCode>_(* #,##0_);_(* \(#,##0\);_(* "-"??_);_(@_)</c:formatCode>
                <c:ptCount val="5"/>
                <c:pt idx="0">
                  <c:v>760021</c:v>
                </c:pt>
                <c:pt idx="1">
                  <c:v>268586</c:v>
                </c:pt>
                <c:pt idx="2">
                  <c:v>16170921</c:v>
                </c:pt>
                <c:pt idx="3">
                  <c:v>2145185</c:v>
                </c:pt>
                <c:pt idx="4">
                  <c:v>30436</c:v>
                </c:pt>
              </c:numCache>
            </c:numRef>
          </c:val>
          <c:extLst>
            <c:ext xmlns:c16="http://schemas.microsoft.com/office/drawing/2014/chart" uri="{C3380CC4-5D6E-409C-BE32-E72D297353CC}">
              <c16:uniqueId val="{0000000A-6471-47BB-B9E4-1ECE558DB254}"/>
            </c:ext>
          </c:extLst>
        </c:ser>
        <c:dLbls>
          <c:showLegendKey val="0"/>
          <c:showVal val="1"/>
          <c:showCatName val="0"/>
          <c:showSerName val="0"/>
          <c:showPercent val="0"/>
          <c:showBubbleSize val="0"/>
          <c:showLeaderLines val="1"/>
        </c:dLbls>
        <c:firstSliceAng val="0"/>
        <c:holeSize val="75"/>
      </c:doughnutChart>
      <c:spPr>
        <a:noFill/>
        <a:ln>
          <a:solidFill>
            <a:schemeClr val="accent1">
              <a:alpha val="0"/>
            </a:schemeClr>
          </a:solidFill>
        </a:ln>
        <a:effectLst/>
      </c:spPr>
    </c:plotArea>
    <c:legend>
      <c:legendPos val="b"/>
      <c:layout>
        <c:manualLayout>
          <c:xMode val="edge"/>
          <c:yMode val="edge"/>
          <c:x val="2.3134115100425141E-2"/>
          <c:y val="0.88442339867413866"/>
          <c:w val="0.94788761365618235"/>
          <c:h val="8.3935972433067468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200" b="0" i="0" u="none" strike="noStrike" kern="1200" baseline="0">
              <a:ln>
                <a:no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lumMod val="8500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[Excel_Sales_Analysis_Dataset.xlsx]charts!PivotTable1</c:name>
    <c:fmtId val="5"/>
  </c:pivotSource>
  <c:chart>
    <c:title>
      <c:tx>
        <c:rich>
          <a:bodyPr rot="0" spcFirstLastPara="1" vertOverflow="ellipsis" vert="horz" wrap="square" anchor="ctr" anchorCtr="1"/>
          <a:lstStyle/>
          <a:p>
            <a:pPr>
              <a:defRPr sz="1600" b="1" i="0" u="none" strike="noStrike" kern="1200" baseline="0">
                <a:ln>
                  <a:noFill/>
                </a:ln>
                <a:solidFill>
                  <a:schemeClr val="tx2">
                    <a:lumMod val="50000"/>
                  </a:schemeClr>
                </a:solidFill>
                <a:latin typeface="+mn-lt"/>
                <a:ea typeface="+mn-ea"/>
                <a:cs typeface="+mn-cs"/>
              </a:defRPr>
            </a:pPr>
            <a:r>
              <a:rPr lang="en-US">
                <a:ln>
                  <a:noFill/>
                </a:ln>
                <a:solidFill>
                  <a:schemeClr val="tx2"/>
                </a:solidFill>
              </a:rPr>
              <a:t>SALES BY REGION</a:t>
            </a:r>
          </a:p>
        </c:rich>
      </c:tx>
      <c:layout>
        <c:manualLayout>
          <c:xMode val="edge"/>
          <c:yMode val="edge"/>
          <c:x val="0.10156123550610961"/>
          <c:y val="2.4711323428287028E-2"/>
        </c:manualLayout>
      </c:layout>
      <c:overlay val="0"/>
      <c:spPr>
        <a:noFill/>
        <a:ln>
          <a:solidFill>
            <a:schemeClr val="bg1"/>
          </a:solidFill>
        </a:ln>
        <a:effectLst/>
      </c:spPr>
      <c:txPr>
        <a:bodyPr rot="0" spcFirstLastPara="1" vertOverflow="ellipsis" vert="horz" wrap="square" anchor="ctr" anchorCtr="1"/>
        <a:lstStyle/>
        <a:p>
          <a:pPr>
            <a:defRPr sz="1600" b="1" i="0" u="none" strike="noStrike" kern="1200" baseline="0">
              <a:ln>
                <a:noFill/>
              </a:ln>
              <a:solidFill>
                <a:schemeClr val="tx2">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9835441555509478"/>
          <c:y val="0.16852333031520608"/>
          <c:w val="0.73073946404304557"/>
          <c:h val="0.70532966172634404"/>
        </c:manualLayout>
      </c:layout>
      <c:barChart>
        <c:barDir val="bar"/>
        <c:grouping val="clustered"/>
        <c:varyColors val="0"/>
        <c:ser>
          <c:idx val="0"/>
          <c:order val="0"/>
          <c:tx>
            <c:strRef>
              <c:f>charts!$B$3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extLst>
              <c:ext xmlns:c16="http://schemas.microsoft.com/office/drawing/2014/chart" uri="{C3380CC4-5D6E-409C-BE32-E72D297353CC}">
                <c16:uniqueId val="{00000004-B832-4799-8E50-F3FF0E71C73F}"/>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charts!$A$4:$A$9</c:f>
              <c:strCache>
                <c:ptCount val="5"/>
                <c:pt idx="0">
                  <c:v>Salem</c:v>
                </c:pt>
                <c:pt idx="1">
                  <c:v>Chennai</c:v>
                </c:pt>
                <c:pt idx="2">
                  <c:v>Madurai</c:v>
                </c:pt>
                <c:pt idx="3">
                  <c:v>Trichy</c:v>
                </c:pt>
                <c:pt idx="4">
                  <c:v>Coimbatore</c:v>
                </c:pt>
              </c:strCache>
            </c:strRef>
          </c:cat>
          <c:val>
            <c:numRef>
              <c:f>charts!$B$4:$B$9</c:f>
              <c:numCache>
                <c:formatCode>_(* #,##0_);_(* \(#,##0\);_(* "-"??_);_(@_)</c:formatCode>
                <c:ptCount val="5"/>
                <c:pt idx="0">
                  <c:v>3612981</c:v>
                </c:pt>
                <c:pt idx="1">
                  <c:v>3848520</c:v>
                </c:pt>
                <c:pt idx="2">
                  <c:v>3850466</c:v>
                </c:pt>
                <c:pt idx="3">
                  <c:v>3853147</c:v>
                </c:pt>
                <c:pt idx="4">
                  <c:v>4210035</c:v>
                </c:pt>
              </c:numCache>
            </c:numRef>
          </c:val>
          <c:extLst>
            <c:ext xmlns:c16="http://schemas.microsoft.com/office/drawing/2014/chart" uri="{C3380CC4-5D6E-409C-BE32-E72D297353CC}">
              <c16:uniqueId val="{00000000-B832-4799-8E50-F3FF0E71C73F}"/>
            </c:ext>
          </c:extLst>
        </c:ser>
        <c:dLbls>
          <c:dLblPos val="outEnd"/>
          <c:showLegendKey val="0"/>
          <c:showVal val="1"/>
          <c:showCatName val="0"/>
          <c:showSerName val="0"/>
          <c:showPercent val="0"/>
          <c:showBubbleSize val="0"/>
        </c:dLbls>
        <c:gapWidth val="115"/>
        <c:overlap val="-20"/>
        <c:axId val="1206680880"/>
        <c:axId val="732341232"/>
      </c:barChart>
      <c:catAx>
        <c:axId val="1206680880"/>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732341232"/>
        <c:crosses val="autoZero"/>
        <c:auto val="1"/>
        <c:lblAlgn val="ctr"/>
        <c:lblOffset val="100"/>
        <c:noMultiLvlLbl val="0"/>
      </c:catAx>
      <c:valAx>
        <c:axId val="732341232"/>
        <c:scaling>
          <c:orientation val="minMax"/>
        </c:scaling>
        <c:delete val="0"/>
        <c:axPos val="b"/>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120668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[Excel_Sales_Analysis_Dataset.xlsx]charts!PivotTable4</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MONTHLY SALES TREND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charts!$E$11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charts!$D$12:$D$24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charts!$E$12:$E$24</c:f>
              <c:numCache>
                <c:formatCode>_(* #,##0_);_(* \(#,##0\);_(* "-"??_);_(@_)</c:formatCode>
                <c:ptCount val="12"/>
                <c:pt idx="0">
                  <c:v>1686496</c:v>
                </c:pt>
                <c:pt idx="1">
                  <c:v>1107503</c:v>
                </c:pt>
                <c:pt idx="2">
                  <c:v>1621402</c:v>
                </c:pt>
                <c:pt idx="3">
                  <c:v>1092208</c:v>
                </c:pt>
                <c:pt idx="4">
                  <c:v>1703089</c:v>
                </c:pt>
                <c:pt idx="5">
                  <c:v>1365995</c:v>
                </c:pt>
                <c:pt idx="6">
                  <c:v>1592219</c:v>
                </c:pt>
                <c:pt idx="7">
                  <c:v>1745408</c:v>
                </c:pt>
                <c:pt idx="8">
                  <c:v>1898693</c:v>
                </c:pt>
                <c:pt idx="9">
                  <c:v>2012022</c:v>
                </c:pt>
                <c:pt idx="10">
                  <c:v>1560933</c:v>
                </c:pt>
                <c:pt idx="11">
                  <c:v>1989181</c:v>
                </c:pt>
              </c:numCache>
            </c:numRef>
          </c:val>
          <c:smooth val="0"/>
          <c:extLst>
            <c:ext xmlns:c16="http://schemas.microsoft.com/office/drawing/2014/chart" uri="{C3380CC4-5D6E-409C-BE32-E72D297353CC}">
              <c16:uniqueId val="{00000000-938E-4552-A114-CFA61E18671B}"/>
            </c:ext>
          </c:extLst>
        </c:ser>
        <c:dLbls>
          <c:showLegendKey val="0"/>
          <c:showVal val="0"/>
          <c:showCatName val="0"/>
          <c:showSerName val="0"/>
          <c:showPercent val="0"/>
          <c:showBubbleSize val="0"/>
        </c:dLbls>
        <c:marker val="1"/>
        <c:smooth val="0"/>
        <c:axId val="1206812656"/>
        <c:axId val="732375792"/>
      </c:lineChart>
      <c:catAx>
        <c:axId val="120681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375792"/>
        <c:crosses val="autoZero"/>
        <c:auto val="1"/>
        <c:lblAlgn val="ctr"/>
        <c:lblOffset val="100"/>
        <c:noMultiLvlLbl val="0"/>
      </c:catAx>
      <c:valAx>
        <c:axId val="73237579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81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[Excel_Sales_Analysis_Dataset.xlsx]charts!PivotTable2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SALES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charts!$E$3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8B-4C4C-B41D-3D94481201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8B-4C4C-B41D-3D94481201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8B-4C4C-B41D-3D94481201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8B-4C4C-B41D-3D94481201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8B-4C4C-B41D-3D9448120159}"/>
              </c:ext>
            </c:extLst>
          </c:dPt>
          <c:cat>
            <c:strRef>
              <c:f>charts!$D$4:$D$9</c:f>
              <c:strCache>
                <c:ptCount val="5"/>
                <c:pt idx="0">
                  <c:v>Accessories</c:v>
                </c:pt>
                <c:pt idx="1">
                  <c:v>Bags</c:v>
                </c:pt>
                <c:pt idx="2">
                  <c:v>Electronics</c:v>
                </c:pt>
                <c:pt idx="3">
                  <c:v>Furniture</c:v>
                </c:pt>
                <c:pt idx="4">
                  <c:v>Stationery</c:v>
                </c:pt>
              </c:strCache>
            </c:strRef>
          </c:cat>
          <c:val>
            <c:numRef>
              <c:f>charts!$E$4:$E$9</c:f>
              <c:numCache>
                <c:formatCode>_(* #,##0_);_(* \(#,##0\);_(* "-"??_);_(@_)</c:formatCode>
                <c:ptCount val="5"/>
                <c:pt idx="0">
                  <c:v>760021</c:v>
                </c:pt>
                <c:pt idx="1">
                  <c:v>268586</c:v>
                </c:pt>
                <c:pt idx="2">
                  <c:v>16170921</c:v>
                </c:pt>
                <c:pt idx="3">
                  <c:v>2145185</c:v>
                </c:pt>
                <c:pt idx="4">
                  <c:v>30436</c:v>
                </c:pt>
              </c:numCache>
            </c:numRef>
          </c:val>
          <c:extLst>
            <c:ext xmlns:c16="http://schemas.microsoft.com/office/drawing/2014/chart" uri="{C3380CC4-5D6E-409C-BE32-E72D297353CC}">
              <c16:uniqueId val="{00000000-F585-4901-83D3-E9CACDD19F4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[Excel_Sales_Analysis_Dataset.xlsx]charts!PivotTable1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SALES BY REGION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48027210884353749"/>
          <c:y val="0.1821377832358111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Total</c:v>
                </c:pt>
              </c:strCache>
            </c:strRef>
          </c:tx>
          <c:spPr>
            <a:solidFill>
              <a:schemeClr val="accent1"/>
            </a:solidFill>
            <a:ln>
              <a:noFill/>
            </a:ln>
            <a:effectLst/>
          </c:spPr>
          <c:invertIfNegative val="0"/>
          <c:cat>
            <c:strRef>
              <c:f>charts!$A$4:$A$9</c:f>
              <c:strCache>
                <c:ptCount val="5"/>
                <c:pt idx="0">
                  <c:v>Salem</c:v>
                </c:pt>
                <c:pt idx="1">
                  <c:v>Chennai</c:v>
                </c:pt>
                <c:pt idx="2">
                  <c:v>Madurai</c:v>
                </c:pt>
                <c:pt idx="3">
                  <c:v>Trichy</c:v>
                </c:pt>
                <c:pt idx="4">
                  <c:v>Coimbatore</c:v>
                </c:pt>
              </c:strCache>
            </c:strRef>
          </c:cat>
          <c:val>
            <c:numRef>
              <c:f>charts!$B$4:$B$9</c:f>
              <c:numCache>
                <c:formatCode>_(* #,##0_);_(* \(#,##0\);_(* "-"??_);_(@_)</c:formatCode>
                <c:ptCount val="5"/>
                <c:pt idx="0">
                  <c:v>3612981</c:v>
                </c:pt>
                <c:pt idx="1">
                  <c:v>3848520</c:v>
                </c:pt>
                <c:pt idx="2">
                  <c:v>3850466</c:v>
                </c:pt>
                <c:pt idx="3">
                  <c:v>3853147</c:v>
                </c:pt>
                <c:pt idx="4">
                  <c:v>4210035</c:v>
                </c:pt>
              </c:numCache>
            </c:numRef>
          </c:val>
          <c:extLst>
            <c:ext xmlns:c16="http://schemas.microsoft.com/office/drawing/2014/chart" uri="{C3380CC4-5D6E-409C-BE32-E72D297353CC}">
              <c16:uniqueId val="{00000000-C7E2-47B7-9C60-94B33F865406}"/>
            </c:ext>
          </c:extLst>
        </c:ser>
        <c:dLbls>
          <c:showLegendKey val="0"/>
          <c:showVal val="0"/>
          <c:showCatName val="0"/>
          <c:showSerName val="0"/>
          <c:showPercent val="0"/>
          <c:showBubbleSize val="0"/>
        </c:dLbls>
        <c:gapWidth val="182"/>
        <c:axId val="1206680880"/>
        <c:axId val="732341232"/>
      </c:barChart>
      <c:catAx>
        <c:axId val="1206680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341232"/>
        <c:crosses val="autoZero"/>
        <c:auto val="1"/>
        <c:lblAlgn val="ctr"/>
        <c:lblOffset val="100"/>
        <c:noMultiLvlLbl val="0"/>
      </c:catAx>
      <c:valAx>
        <c:axId val="73234123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68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[Excel_Sales_Analysis_Dataset.xlsx]charts!PivotTable5</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CUSTOMERS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34023640661938531"/>
          <c:y val="0.1432060297275674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1637906963757194"/>
          <c:y val="0.43220556655017056"/>
          <c:w val="0.12420394259228235"/>
          <c:h val="0.47047749378921216"/>
        </c:manualLayout>
      </c:layout>
      <c:barChart>
        <c:barDir val="bar"/>
        <c:grouping val="clustered"/>
        <c:varyColors val="0"/>
        <c:ser>
          <c:idx val="0"/>
          <c:order val="0"/>
          <c:tx>
            <c:strRef>
              <c:f>charts!$G$15</c:f>
              <c:strCache>
                <c:ptCount val="1"/>
                <c:pt idx="0">
                  <c:v>Total</c:v>
                </c:pt>
              </c:strCache>
            </c:strRef>
          </c:tx>
          <c:spPr>
            <a:solidFill>
              <a:schemeClr val="accent1"/>
            </a:solidFill>
            <a:ln>
              <a:noFill/>
            </a:ln>
            <a:effectLst/>
          </c:spPr>
          <c:invertIfNegative val="0"/>
          <c:cat>
            <c:strRef>
              <c:f>charts!$F$16:$F$26</c:f>
              <c:strCache>
                <c:ptCount val="10"/>
                <c:pt idx="0">
                  <c:v>Vijay S</c:v>
                </c:pt>
                <c:pt idx="1">
                  <c:v>Swetha P</c:v>
                </c:pt>
                <c:pt idx="2">
                  <c:v>Dinesh K</c:v>
                </c:pt>
                <c:pt idx="3">
                  <c:v>Divya M</c:v>
                </c:pt>
                <c:pt idx="4">
                  <c:v>Naveen M</c:v>
                </c:pt>
                <c:pt idx="5">
                  <c:v>Gokul R</c:v>
                </c:pt>
                <c:pt idx="6">
                  <c:v>Deepa S</c:v>
                </c:pt>
                <c:pt idx="7">
                  <c:v>Hari V</c:v>
                </c:pt>
                <c:pt idx="8">
                  <c:v>Pavithra R</c:v>
                </c:pt>
                <c:pt idx="9">
                  <c:v>Priya S</c:v>
                </c:pt>
              </c:strCache>
            </c:strRef>
          </c:cat>
          <c:val>
            <c:numRef>
              <c:f>charts!$G$16:$G$26</c:f>
              <c:numCache>
                <c:formatCode>General</c:formatCode>
                <c:ptCount val="10"/>
                <c:pt idx="0">
                  <c:v>943506</c:v>
                </c:pt>
                <c:pt idx="1">
                  <c:v>980527</c:v>
                </c:pt>
                <c:pt idx="2">
                  <c:v>1000226</c:v>
                </c:pt>
                <c:pt idx="3">
                  <c:v>1039383</c:v>
                </c:pt>
                <c:pt idx="4">
                  <c:v>1069831</c:v>
                </c:pt>
                <c:pt idx="5">
                  <c:v>1115708</c:v>
                </c:pt>
                <c:pt idx="6">
                  <c:v>1234509</c:v>
                </c:pt>
                <c:pt idx="7">
                  <c:v>1330072</c:v>
                </c:pt>
                <c:pt idx="8">
                  <c:v>1531999</c:v>
                </c:pt>
                <c:pt idx="9">
                  <c:v>1917906</c:v>
                </c:pt>
              </c:numCache>
            </c:numRef>
          </c:val>
          <c:extLst>
            <c:ext xmlns:c16="http://schemas.microsoft.com/office/drawing/2014/chart" uri="{C3380CC4-5D6E-409C-BE32-E72D297353CC}">
              <c16:uniqueId val="{00000000-4B24-4BE0-B67C-252BF97BBDBC}"/>
            </c:ext>
          </c:extLst>
        </c:ser>
        <c:dLbls>
          <c:showLegendKey val="0"/>
          <c:showVal val="0"/>
          <c:showCatName val="0"/>
          <c:showSerName val="0"/>
          <c:showPercent val="0"/>
          <c:showBubbleSize val="0"/>
        </c:dLbls>
        <c:gapWidth val="182"/>
        <c:axId val="1206766720"/>
        <c:axId val="732378192"/>
      </c:barChart>
      <c:catAx>
        <c:axId val="120676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378192"/>
        <c:crosses val="autoZero"/>
        <c:auto val="1"/>
        <c:lblAlgn val="ctr"/>
        <c:lblOffset val="100"/>
        <c:noMultiLvlLbl val="0"/>
      </c:catAx>
      <c:valAx>
        <c:axId val="732378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76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microsoft.com/office/2007/relationships/hdphoto" Target="../media/hdphoto4.wdp"/><Relationship Id="rId18" Type="http://schemas.microsoft.com/office/2007/relationships/hdphoto" Target="../media/hdphoto6.wdp"/><Relationship Id="rId3" Type="http://schemas.openxmlformats.org/officeDocument/2006/relationships/image" Target="../media/image2.png"/><Relationship Id="rId21" Type="http://schemas.openxmlformats.org/officeDocument/2006/relationships/image" Target="../media/image9.png"/><Relationship Id="rId7" Type="http://schemas.microsoft.com/office/2007/relationships/hdphoto" Target="../media/hdphoto3.wdp"/><Relationship Id="rId12" Type="http://schemas.openxmlformats.org/officeDocument/2006/relationships/image" Target="../media/image4.png"/><Relationship Id="rId17" Type="http://schemas.openxmlformats.org/officeDocument/2006/relationships/image" Target="../media/image7.png"/><Relationship Id="rId2" Type="http://schemas.microsoft.com/office/2007/relationships/hdphoto" Target="../media/hdphoto1.wdp"/><Relationship Id="rId16" Type="http://schemas.openxmlformats.org/officeDocument/2006/relationships/image" Target="../media/image6.png"/><Relationship Id="rId20" Type="http://schemas.microsoft.com/office/2007/relationships/hdphoto" Target="../media/hdphoto7.wdp"/><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hyperlink" Target="https://designer.vexels.com/?graphic_id=157345&amp;edit_online=true" TargetMode="External"/><Relationship Id="rId15" Type="http://schemas.microsoft.com/office/2007/relationships/hdphoto" Target="../media/hdphoto5.wdp"/><Relationship Id="rId10" Type="http://schemas.openxmlformats.org/officeDocument/2006/relationships/chart" Target="../charts/chart3.xml"/><Relationship Id="rId19" Type="http://schemas.openxmlformats.org/officeDocument/2006/relationships/image" Target="../media/image8.png"/><Relationship Id="rId4" Type="http://schemas.microsoft.com/office/2007/relationships/hdphoto" Target="../media/hdphoto2.wdp"/><Relationship Id="rId9" Type="http://schemas.openxmlformats.org/officeDocument/2006/relationships/chart" Target="../charts/chart2.xml"/><Relationship Id="rId14" Type="http://schemas.openxmlformats.org/officeDocument/2006/relationships/image" Target="../media/image5.png"/><Relationship Id="rId22"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57151</xdr:rowOff>
    </xdr:from>
    <xdr:to>
      <xdr:col>2</xdr:col>
      <xdr:colOff>203200</xdr:colOff>
      <xdr:row>27</xdr:row>
      <xdr:rowOff>69851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B79A087-CB0B-5429-0CCE-3847C4A4AA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371851"/>
              <a:ext cx="1854200" cy="1670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234950</xdr:colOff>
      <xdr:row>16</xdr:row>
      <xdr:rowOff>114300</xdr:rowOff>
    </xdr:from>
    <xdr:to>
      <xdr:col>8</xdr:col>
      <xdr:colOff>412750</xdr:colOff>
      <xdr:row>30</xdr:row>
      <xdr:rowOff>60325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FD75F6CF-05C5-C6FA-0B77-BDE1DDF0247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756150" y="3060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17</xdr:row>
      <xdr:rowOff>57150</xdr:rowOff>
    </xdr:from>
    <xdr:to>
      <xdr:col>14</xdr:col>
      <xdr:colOff>101600</xdr:colOff>
      <xdr:row>31</xdr:row>
      <xdr:rowOff>3175</xdr:rowOff>
    </xdr:to>
    <mc:AlternateContent xmlns:mc="http://schemas.openxmlformats.org/markup-compatibility/2006" xmlns:a14="http://schemas.microsoft.com/office/drawing/2010/main">
      <mc:Choice Requires="a14">
        <xdr:graphicFrame macro="">
          <xdr:nvGraphicFramePr>
            <xdr:cNvPr id="3" name="Category 2">
              <a:extLst>
                <a:ext uri="{FF2B5EF4-FFF2-40B4-BE49-F238E27FC236}">
                  <a16:creationId xmlns:a16="http://schemas.microsoft.com/office/drawing/2014/main" id="{A4F3D70B-4168-44AD-4617-7A9972D6E85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966200" y="3187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25400</xdr:colOff>
      <xdr:row>17</xdr:row>
      <xdr:rowOff>12700</xdr:rowOff>
    </xdr:from>
    <xdr:to>
      <xdr:col>16</xdr:col>
      <xdr:colOff>381000</xdr:colOff>
      <xdr:row>30</xdr:row>
      <xdr:rowOff>142875</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A56CABE9-EEBF-54CB-98A8-1C6D020186D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718800" y="3143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16</xdr:row>
      <xdr:rowOff>114300</xdr:rowOff>
    </xdr:from>
    <xdr:to>
      <xdr:col>19</xdr:col>
      <xdr:colOff>203200</xdr:colOff>
      <xdr:row>30</xdr:row>
      <xdr:rowOff>60325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86EA6951-4411-6FC4-E590-63C548315B7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547600" y="3060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215900</xdr:colOff>
      <xdr:row>5</xdr:row>
      <xdr:rowOff>101600</xdr:rowOff>
    </xdr:to>
    <xdr:sp macro="" textlink="">
      <xdr:nvSpPr>
        <xdr:cNvPr id="2" name="Rectangle: Rounded Corners 1">
          <a:extLst>
            <a:ext uri="{FF2B5EF4-FFF2-40B4-BE49-F238E27FC236}">
              <a16:creationId xmlns:a16="http://schemas.microsoft.com/office/drawing/2014/main" id="{CA50DA2D-BDB9-7A2F-B33F-862D2CD973F3}"/>
            </a:ext>
          </a:extLst>
        </xdr:cNvPr>
        <xdr:cNvSpPr/>
      </xdr:nvSpPr>
      <xdr:spPr>
        <a:xfrm>
          <a:off x="0" y="0"/>
          <a:ext cx="12407900" cy="1054100"/>
        </a:xfrm>
        <a:prstGeom prst="roundRect">
          <a:avLst/>
        </a:prstGeom>
        <a:solidFill>
          <a:schemeClr val="tx2">
            <a:lumMod val="75000"/>
          </a:schemeClr>
        </a:solidFill>
        <a:ln>
          <a:solidFill>
            <a:schemeClr val="bg2"/>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0</xdr:col>
      <xdr:colOff>147461</xdr:colOff>
      <xdr:row>6</xdr:row>
      <xdr:rowOff>11674</xdr:rowOff>
    </xdr:from>
    <xdr:to>
      <xdr:col>3</xdr:col>
      <xdr:colOff>579261</xdr:colOff>
      <xdr:row>10</xdr:row>
      <xdr:rowOff>172284</xdr:rowOff>
    </xdr:to>
    <xdr:sp macro="" textlink="">
      <xdr:nvSpPr>
        <xdr:cNvPr id="3" name="Rectangle: Rounded Corners 2">
          <a:extLst>
            <a:ext uri="{FF2B5EF4-FFF2-40B4-BE49-F238E27FC236}">
              <a16:creationId xmlns:a16="http://schemas.microsoft.com/office/drawing/2014/main" id="{52541A53-5BD3-D313-A010-84711012098D}"/>
            </a:ext>
          </a:extLst>
        </xdr:cNvPr>
        <xdr:cNvSpPr/>
      </xdr:nvSpPr>
      <xdr:spPr>
        <a:xfrm>
          <a:off x="147461" y="1116574"/>
          <a:ext cx="2260600" cy="897210"/>
        </a:xfrm>
        <a:prstGeom prst="roundRect">
          <a:avLst/>
        </a:prstGeom>
        <a:solidFill>
          <a:schemeClr val="tx2">
            <a:lumMod val="20000"/>
            <a:lumOff val="80000"/>
          </a:schemeClr>
        </a:solidFill>
        <a:ln>
          <a:solidFill>
            <a:schemeClr val="bg1"/>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0</xdr:col>
      <xdr:colOff>142648</xdr:colOff>
      <xdr:row>6</xdr:row>
      <xdr:rowOff>20782</xdr:rowOff>
    </xdr:from>
    <xdr:to>
      <xdr:col>3</xdr:col>
      <xdr:colOff>551616</xdr:colOff>
      <xdr:row>10</xdr:row>
      <xdr:rowOff>179595</xdr:rowOff>
    </xdr:to>
    <xdr:grpSp>
      <xdr:nvGrpSpPr>
        <xdr:cNvPr id="10" name="Group 9">
          <a:extLst>
            <a:ext uri="{FF2B5EF4-FFF2-40B4-BE49-F238E27FC236}">
              <a16:creationId xmlns:a16="http://schemas.microsoft.com/office/drawing/2014/main" id="{8A6748B7-7B2F-E058-84C8-51C595EC34A6}"/>
            </a:ext>
          </a:extLst>
        </xdr:cNvPr>
        <xdr:cNvGrpSpPr/>
      </xdr:nvGrpSpPr>
      <xdr:grpSpPr>
        <a:xfrm>
          <a:off x="142648" y="1121449"/>
          <a:ext cx="2229301" cy="892590"/>
          <a:chOff x="142648" y="1136843"/>
          <a:chExt cx="2236998" cy="902853"/>
        </a:xfrm>
      </xdr:grpSpPr>
      <xdr:sp macro="" textlink="">
        <xdr:nvSpPr>
          <xdr:cNvPr id="4" name="Rectangle: Rounded Corners 3">
            <a:extLst>
              <a:ext uri="{FF2B5EF4-FFF2-40B4-BE49-F238E27FC236}">
                <a16:creationId xmlns:a16="http://schemas.microsoft.com/office/drawing/2014/main" id="{8B355F5C-AA4E-E45B-CBD8-8F7DC7E47E17}"/>
              </a:ext>
            </a:extLst>
          </xdr:cNvPr>
          <xdr:cNvSpPr/>
        </xdr:nvSpPr>
        <xdr:spPr>
          <a:xfrm rot="5400000">
            <a:off x="104165" y="1175326"/>
            <a:ext cx="902853" cy="825887"/>
          </a:xfrm>
          <a:prstGeom prst="roundRect">
            <a:avLst/>
          </a:prstGeom>
          <a:solidFill>
            <a:schemeClr val="tx2"/>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chemeClr val="tx2"/>
              </a:solidFill>
            </a:endParaRPr>
          </a:p>
        </xdr:txBody>
      </xdr:sp>
      <xdr:sp macro="" textlink="">
        <xdr:nvSpPr>
          <xdr:cNvPr id="7" name="Rectangle 6">
            <a:extLst>
              <a:ext uri="{FF2B5EF4-FFF2-40B4-BE49-F238E27FC236}">
                <a16:creationId xmlns:a16="http://schemas.microsoft.com/office/drawing/2014/main" id="{8EA9C6BD-D50C-2399-C3A4-D00A51952997}"/>
              </a:ext>
            </a:extLst>
          </xdr:cNvPr>
          <xdr:cNvSpPr/>
        </xdr:nvSpPr>
        <xdr:spPr>
          <a:xfrm>
            <a:off x="1160959" y="1250758"/>
            <a:ext cx="1218687" cy="2693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u="none">
                <a:solidFill>
                  <a:schemeClr val="tx2">
                    <a:lumMod val="50000"/>
                  </a:schemeClr>
                </a:solidFill>
                <a:latin typeface="+mj-lt"/>
              </a:rPr>
              <a:t>Total</a:t>
            </a:r>
            <a:r>
              <a:rPr lang="en-US" sz="1400" b="0" i="1" u="none" baseline="0">
                <a:solidFill>
                  <a:schemeClr val="tx2">
                    <a:lumMod val="50000"/>
                  </a:schemeClr>
                </a:solidFill>
                <a:latin typeface="+mj-lt"/>
              </a:rPr>
              <a:t> Sales</a:t>
            </a:r>
            <a:endParaRPr lang="en-US" sz="1400" b="0" i="1" u="none">
              <a:solidFill>
                <a:schemeClr val="tx2">
                  <a:lumMod val="50000"/>
                </a:schemeClr>
              </a:solidFill>
              <a:latin typeface="+mj-lt"/>
            </a:endParaRPr>
          </a:p>
          <a:p>
            <a:pPr algn="l"/>
            <a:endParaRPr lang="en-US" sz="1100">
              <a:solidFill>
                <a:schemeClr val="tx1"/>
              </a:solidFill>
            </a:endParaRPr>
          </a:p>
        </xdr:txBody>
      </xdr:sp>
      <xdr:sp macro="" textlink="">
        <xdr:nvSpPr>
          <xdr:cNvPr id="6" name="TextBox 5">
            <a:extLst>
              <a:ext uri="{FF2B5EF4-FFF2-40B4-BE49-F238E27FC236}">
                <a16:creationId xmlns:a16="http://schemas.microsoft.com/office/drawing/2014/main" id="{F81ED4A9-3BD8-608A-17CD-CEB23192567C}"/>
              </a:ext>
            </a:extLst>
          </xdr:cNvPr>
          <xdr:cNvSpPr txBox="1"/>
        </xdr:nvSpPr>
        <xdr:spPr>
          <a:xfrm>
            <a:off x="1051191" y="1590718"/>
            <a:ext cx="1327726" cy="288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a:solidFill>
                  <a:schemeClr val="tx2"/>
                </a:solidFill>
                <a:effectLst/>
                <a:latin typeface="Arial Black" panose="020B0A04020102020204" pitchFamily="34" charset="0"/>
                <a:ea typeface="+mn-ea"/>
                <a:cs typeface="+mn-cs"/>
              </a:rPr>
              <a:t>19,375,149</a:t>
            </a:r>
            <a:r>
              <a:rPr lang="en-US" sz="1600" b="0" i="0">
                <a:solidFill>
                  <a:schemeClr val="tx2"/>
                </a:solidFill>
                <a:effectLst/>
                <a:latin typeface="+mn-lt"/>
                <a:ea typeface="+mn-ea"/>
                <a:cs typeface="+mn-cs"/>
              </a:rPr>
              <a:t>  </a:t>
            </a:r>
            <a:endParaRPr lang="en-US" sz="1600">
              <a:solidFill>
                <a:schemeClr val="tx2"/>
              </a:solidFill>
              <a:latin typeface="Arial" panose="020B0604020202020204" pitchFamily="34" charset="0"/>
              <a:cs typeface="Arial" panose="020B0604020202020204" pitchFamily="34" charset="0"/>
            </a:endParaRPr>
          </a:p>
        </xdr:txBody>
      </xdr:sp>
    </xdr:grpSp>
    <xdr:clientData/>
  </xdr:twoCellAnchor>
  <xdr:twoCellAnchor>
    <xdr:from>
      <xdr:col>4</xdr:col>
      <xdr:colOff>147462</xdr:colOff>
      <xdr:row>6</xdr:row>
      <xdr:rowOff>13406</xdr:rowOff>
    </xdr:from>
    <xdr:to>
      <xdr:col>7</xdr:col>
      <xdr:colOff>579262</xdr:colOff>
      <xdr:row>10</xdr:row>
      <xdr:rowOff>172156</xdr:rowOff>
    </xdr:to>
    <xdr:sp macro="" textlink="">
      <xdr:nvSpPr>
        <xdr:cNvPr id="13" name="Rectangle: Rounded Corners 12">
          <a:extLst>
            <a:ext uri="{FF2B5EF4-FFF2-40B4-BE49-F238E27FC236}">
              <a16:creationId xmlns:a16="http://schemas.microsoft.com/office/drawing/2014/main" id="{46BE086A-5E92-C7B6-BA64-96AA0AE1D986}"/>
            </a:ext>
          </a:extLst>
        </xdr:cNvPr>
        <xdr:cNvSpPr/>
      </xdr:nvSpPr>
      <xdr:spPr>
        <a:xfrm>
          <a:off x="2585862" y="1118306"/>
          <a:ext cx="2260600" cy="895350"/>
        </a:xfrm>
        <a:prstGeom prst="roundRect">
          <a:avLst/>
        </a:prstGeom>
        <a:solidFill>
          <a:schemeClr val="tx2">
            <a:lumMod val="20000"/>
            <a:lumOff val="80000"/>
          </a:schemeClr>
        </a:solidFill>
        <a:ln>
          <a:solidFill>
            <a:schemeClr val="bg1"/>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latin typeface="+mn-lt"/>
          </a:endParaRPr>
        </a:p>
      </xdr:txBody>
    </xdr:sp>
    <xdr:clientData/>
  </xdr:twoCellAnchor>
  <xdr:twoCellAnchor>
    <xdr:from>
      <xdr:col>8</xdr:col>
      <xdr:colOff>179597</xdr:colOff>
      <xdr:row>5</xdr:row>
      <xdr:rowOff>184855</xdr:rowOff>
    </xdr:from>
    <xdr:to>
      <xdr:col>12</xdr:col>
      <xdr:colOff>2053</xdr:colOff>
      <xdr:row>10</xdr:row>
      <xdr:rowOff>159455</xdr:rowOff>
    </xdr:to>
    <xdr:sp macro="" textlink="">
      <xdr:nvSpPr>
        <xdr:cNvPr id="14" name="Rectangle: Rounded Corners 13">
          <a:extLst>
            <a:ext uri="{FF2B5EF4-FFF2-40B4-BE49-F238E27FC236}">
              <a16:creationId xmlns:a16="http://schemas.microsoft.com/office/drawing/2014/main" id="{571E2618-63A6-B3CF-6D1C-CCAD9D1FCB7F}"/>
            </a:ext>
          </a:extLst>
        </xdr:cNvPr>
        <xdr:cNvSpPr/>
      </xdr:nvSpPr>
      <xdr:spPr>
        <a:xfrm>
          <a:off x="5054344" y="1114906"/>
          <a:ext cx="2259830" cy="904650"/>
        </a:xfrm>
        <a:prstGeom prst="roundRect">
          <a:avLst/>
        </a:prstGeom>
        <a:solidFill>
          <a:schemeClr val="tx2">
            <a:lumMod val="20000"/>
            <a:lumOff val="80000"/>
          </a:schemeClr>
        </a:solidFill>
        <a:ln>
          <a:solidFill>
            <a:schemeClr val="bg1"/>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12</xdr:col>
      <xdr:colOff>186012</xdr:colOff>
      <xdr:row>5</xdr:row>
      <xdr:rowOff>184856</xdr:rowOff>
    </xdr:from>
    <xdr:to>
      <xdr:col>16</xdr:col>
      <xdr:colOff>8468</xdr:colOff>
      <xdr:row>10</xdr:row>
      <xdr:rowOff>159456</xdr:rowOff>
    </xdr:to>
    <xdr:sp macro="" textlink="">
      <xdr:nvSpPr>
        <xdr:cNvPr id="15" name="Rectangle: Rounded Corners 14">
          <a:extLst>
            <a:ext uri="{FF2B5EF4-FFF2-40B4-BE49-F238E27FC236}">
              <a16:creationId xmlns:a16="http://schemas.microsoft.com/office/drawing/2014/main" id="{5E62608C-06A4-F9AA-3022-81D3AE69F2B1}"/>
            </a:ext>
          </a:extLst>
        </xdr:cNvPr>
        <xdr:cNvSpPr/>
      </xdr:nvSpPr>
      <xdr:spPr>
        <a:xfrm>
          <a:off x="7498133" y="1114907"/>
          <a:ext cx="2259830" cy="904650"/>
        </a:xfrm>
        <a:prstGeom prst="roundRect">
          <a:avLst/>
        </a:prstGeom>
        <a:solidFill>
          <a:schemeClr val="tx2">
            <a:lumMod val="20000"/>
            <a:lumOff val="80000"/>
          </a:schemeClr>
        </a:solidFill>
        <a:ln>
          <a:solidFill>
            <a:schemeClr val="bg1"/>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4</xdr:col>
      <xdr:colOff>141110</xdr:colOff>
      <xdr:row>6</xdr:row>
      <xdr:rowOff>6414</xdr:rowOff>
    </xdr:from>
    <xdr:to>
      <xdr:col>7</xdr:col>
      <xdr:colOff>564444</xdr:colOff>
      <xdr:row>10</xdr:row>
      <xdr:rowOff>173181</xdr:rowOff>
    </xdr:to>
    <xdr:grpSp>
      <xdr:nvGrpSpPr>
        <xdr:cNvPr id="21" name="Group 20">
          <a:extLst>
            <a:ext uri="{FF2B5EF4-FFF2-40B4-BE49-F238E27FC236}">
              <a16:creationId xmlns:a16="http://schemas.microsoft.com/office/drawing/2014/main" id="{93606C47-8869-63A0-0202-33DA82E0C733}"/>
            </a:ext>
          </a:extLst>
        </xdr:cNvPr>
        <xdr:cNvGrpSpPr/>
      </xdr:nvGrpSpPr>
      <xdr:grpSpPr>
        <a:xfrm>
          <a:off x="2568221" y="1107081"/>
          <a:ext cx="2243667" cy="900544"/>
          <a:chOff x="128282" y="1128889"/>
          <a:chExt cx="2251364" cy="910807"/>
        </a:xfrm>
      </xdr:grpSpPr>
      <xdr:sp macro="" textlink="">
        <xdr:nvSpPr>
          <xdr:cNvPr id="22" name="Rectangle: Rounded Corners 21">
            <a:extLst>
              <a:ext uri="{FF2B5EF4-FFF2-40B4-BE49-F238E27FC236}">
                <a16:creationId xmlns:a16="http://schemas.microsoft.com/office/drawing/2014/main" id="{DE5298DE-F2FD-DED5-D608-1CAEC41937E0}"/>
              </a:ext>
            </a:extLst>
          </xdr:cNvPr>
          <xdr:cNvSpPr/>
        </xdr:nvSpPr>
        <xdr:spPr>
          <a:xfrm rot="5400000">
            <a:off x="89797" y="1167374"/>
            <a:ext cx="910807" cy="833837"/>
          </a:xfrm>
          <a:prstGeom prst="roundRect">
            <a:avLst/>
          </a:prstGeom>
          <a:solidFill>
            <a:schemeClr val="tx2"/>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chemeClr val="tx2"/>
              </a:solidFill>
            </a:endParaRPr>
          </a:p>
        </xdr:txBody>
      </xdr:sp>
      <xdr:sp macro="" textlink="">
        <xdr:nvSpPr>
          <xdr:cNvPr id="23" name="Rectangle 22">
            <a:extLst>
              <a:ext uri="{FF2B5EF4-FFF2-40B4-BE49-F238E27FC236}">
                <a16:creationId xmlns:a16="http://schemas.microsoft.com/office/drawing/2014/main" id="{23079FA9-23F2-E52A-1B33-C632D60503F0}"/>
              </a:ext>
            </a:extLst>
          </xdr:cNvPr>
          <xdr:cNvSpPr/>
        </xdr:nvSpPr>
        <xdr:spPr>
          <a:xfrm>
            <a:off x="1160959" y="1250758"/>
            <a:ext cx="1218687" cy="2693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u="none">
                <a:solidFill>
                  <a:schemeClr val="tx2">
                    <a:lumMod val="50000"/>
                  </a:schemeClr>
                </a:solidFill>
                <a:latin typeface="+mj-lt"/>
              </a:rPr>
              <a:t>Total</a:t>
            </a:r>
            <a:r>
              <a:rPr lang="en-US" sz="1400" b="0" i="1" u="none" baseline="0">
                <a:solidFill>
                  <a:schemeClr val="tx2">
                    <a:lumMod val="50000"/>
                  </a:schemeClr>
                </a:solidFill>
                <a:latin typeface="+mj-lt"/>
              </a:rPr>
              <a:t> </a:t>
            </a:r>
            <a:r>
              <a:rPr lang="en-US" sz="1400" b="0" i="1" u="none" baseline="0">
                <a:solidFill>
                  <a:schemeClr val="tx2">
                    <a:lumMod val="50000"/>
                  </a:schemeClr>
                </a:solidFill>
                <a:latin typeface="+mn-lt"/>
                <a:cs typeface="Arial" panose="020B0604020202020204" pitchFamily="34" charset="0"/>
              </a:rPr>
              <a:t>Orders</a:t>
            </a:r>
            <a:endParaRPr lang="en-US" sz="1400" b="0" i="1" u="none">
              <a:solidFill>
                <a:schemeClr val="tx2">
                  <a:lumMod val="50000"/>
                </a:schemeClr>
              </a:solidFill>
              <a:latin typeface="+mn-lt"/>
              <a:cs typeface="Arial" panose="020B0604020202020204" pitchFamily="34" charset="0"/>
            </a:endParaRPr>
          </a:p>
          <a:p>
            <a:pPr algn="l"/>
            <a:endParaRPr lang="en-US" sz="1100">
              <a:solidFill>
                <a:schemeClr val="tx1"/>
              </a:solidFill>
            </a:endParaRPr>
          </a:p>
        </xdr:txBody>
      </xdr:sp>
      <xdr:sp macro="" textlink="">
        <xdr:nvSpPr>
          <xdr:cNvPr id="24" name="TextBox 23">
            <a:extLst>
              <a:ext uri="{FF2B5EF4-FFF2-40B4-BE49-F238E27FC236}">
                <a16:creationId xmlns:a16="http://schemas.microsoft.com/office/drawing/2014/main" id="{F863815F-B12C-738C-2075-2BA76E121311}"/>
              </a:ext>
            </a:extLst>
          </xdr:cNvPr>
          <xdr:cNvSpPr txBox="1"/>
        </xdr:nvSpPr>
        <xdr:spPr>
          <a:xfrm>
            <a:off x="981365" y="1597121"/>
            <a:ext cx="1327726" cy="288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1400" b="0" i="0" u="none" strike="noStrike" baseline="0">
                <a:solidFill>
                  <a:schemeClr val="tx2"/>
                </a:solidFill>
                <a:effectLst/>
                <a:latin typeface="Arial Black" panose="020B0A04020102020204" pitchFamily="34" charset="0"/>
                <a:ea typeface="+mn-ea"/>
                <a:cs typeface="Arial" panose="020B0604020202020204" pitchFamily="34" charset="0"/>
              </a:rPr>
              <a:t>     </a:t>
            </a:r>
            <a:r>
              <a:rPr lang="en-US" sz="1400" b="0" i="0" u="none" strike="noStrike">
                <a:solidFill>
                  <a:schemeClr val="tx2"/>
                </a:solidFill>
                <a:effectLst/>
                <a:latin typeface="Arial Black" panose="020B0A04020102020204" pitchFamily="34" charset="0"/>
                <a:ea typeface="+mn-ea"/>
                <a:cs typeface="Arial" panose="020B0604020202020204" pitchFamily="34" charset="0"/>
              </a:rPr>
              <a:t>500</a:t>
            </a:r>
            <a:r>
              <a:rPr lang="en-US" sz="1600" b="0" i="0" u="none" strike="noStrike">
                <a:solidFill>
                  <a:schemeClr val="tx2"/>
                </a:solidFill>
                <a:effectLst/>
                <a:latin typeface="Arial" panose="020B0604020202020204" pitchFamily="34" charset="0"/>
                <a:ea typeface="+mn-ea"/>
                <a:cs typeface="Arial" panose="020B0604020202020204" pitchFamily="34" charset="0"/>
              </a:rPr>
              <a:t> </a:t>
            </a:r>
            <a:endParaRPr lang="en-US" sz="1600">
              <a:solidFill>
                <a:schemeClr val="tx2"/>
              </a:solidFill>
              <a:latin typeface="Arial" panose="020B0604020202020204" pitchFamily="34" charset="0"/>
              <a:cs typeface="Arial" panose="020B0604020202020204" pitchFamily="34" charset="0"/>
            </a:endParaRPr>
          </a:p>
        </xdr:txBody>
      </xdr:sp>
    </xdr:grpSp>
    <xdr:clientData/>
  </xdr:twoCellAnchor>
  <xdr:twoCellAnchor>
    <xdr:from>
      <xdr:col>8</xdr:col>
      <xdr:colOff>186011</xdr:colOff>
      <xdr:row>6</xdr:row>
      <xdr:rowOff>1540</xdr:rowOff>
    </xdr:from>
    <xdr:to>
      <xdr:col>12</xdr:col>
      <xdr:colOff>12828</xdr:colOff>
      <xdr:row>10</xdr:row>
      <xdr:rowOff>173182</xdr:rowOff>
    </xdr:to>
    <xdr:grpSp>
      <xdr:nvGrpSpPr>
        <xdr:cNvPr id="25" name="Group 24">
          <a:extLst>
            <a:ext uri="{FF2B5EF4-FFF2-40B4-BE49-F238E27FC236}">
              <a16:creationId xmlns:a16="http://schemas.microsoft.com/office/drawing/2014/main" id="{80539E56-0B2F-C918-BBC4-AC93C167F88A}"/>
            </a:ext>
          </a:extLst>
        </xdr:cNvPr>
        <xdr:cNvGrpSpPr/>
      </xdr:nvGrpSpPr>
      <xdr:grpSpPr>
        <a:xfrm>
          <a:off x="5040233" y="1102207"/>
          <a:ext cx="2253928" cy="905419"/>
          <a:chOff x="115455" y="1136843"/>
          <a:chExt cx="2264191" cy="915682"/>
        </a:xfrm>
      </xdr:grpSpPr>
      <xdr:sp macro="" textlink="">
        <xdr:nvSpPr>
          <xdr:cNvPr id="26" name="Rectangle: Rounded Corners 25">
            <a:extLst>
              <a:ext uri="{FF2B5EF4-FFF2-40B4-BE49-F238E27FC236}">
                <a16:creationId xmlns:a16="http://schemas.microsoft.com/office/drawing/2014/main" id="{CC69FC4C-8C1B-1E35-1C86-70EE634A1AB4}"/>
              </a:ext>
            </a:extLst>
          </xdr:cNvPr>
          <xdr:cNvSpPr/>
        </xdr:nvSpPr>
        <xdr:spPr>
          <a:xfrm rot="5400000">
            <a:off x="84154" y="1168144"/>
            <a:ext cx="915682" cy="853080"/>
          </a:xfrm>
          <a:prstGeom prst="roundRect">
            <a:avLst/>
          </a:prstGeom>
          <a:solidFill>
            <a:schemeClr val="tx2"/>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chemeClr val="tx2"/>
              </a:solidFill>
            </a:endParaRPr>
          </a:p>
        </xdr:txBody>
      </xdr:sp>
      <xdr:sp macro="" textlink="">
        <xdr:nvSpPr>
          <xdr:cNvPr id="27" name="Rectangle 26">
            <a:extLst>
              <a:ext uri="{FF2B5EF4-FFF2-40B4-BE49-F238E27FC236}">
                <a16:creationId xmlns:a16="http://schemas.microsoft.com/office/drawing/2014/main" id="{A744E86A-0ECD-5E80-EAA3-61C384CD2265}"/>
              </a:ext>
            </a:extLst>
          </xdr:cNvPr>
          <xdr:cNvSpPr/>
        </xdr:nvSpPr>
        <xdr:spPr>
          <a:xfrm>
            <a:off x="1160959" y="1250758"/>
            <a:ext cx="1218687" cy="2693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u="none">
                <a:solidFill>
                  <a:schemeClr val="tx2">
                    <a:lumMod val="50000"/>
                  </a:schemeClr>
                </a:solidFill>
                <a:latin typeface="+mj-lt"/>
              </a:rPr>
              <a:t>Top</a:t>
            </a:r>
            <a:r>
              <a:rPr lang="en-US" sz="1400" b="0" i="1" u="none" baseline="0">
                <a:solidFill>
                  <a:schemeClr val="tx2">
                    <a:lumMod val="50000"/>
                  </a:schemeClr>
                </a:solidFill>
                <a:latin typeface="+mj-lt"/>
              </a:rPr>
              <a:t> Product</a:t>
            </a:r>
            <a:endParaRPr lang="en-US" sz="1400" b="0" i="1" u="none">
              <a:solidFill>
                <a:schemeClr val="tx2">
                  <a:lumMod val="50000"/>
                </a:schemeClr>
              </a:solidFill>
              <a:latin typeface="+mj-lt"/>
            </a:endParaRPr>
          </a:p>
          <a:p>
            <a:pPr algn="l"/>
            <a:endParaRPr lang="en-US" sz="1100">
              <a:solidFill>
                <a:schemeClr val="tx1"/>
              </a:solidFill>
            </a:endParaRPr>
          </a:p>
        </xdr:txBody>
      </xdr:sp>
      <xdr:sp macro="" textlink="">
        <xdr:nvSpPr>
          <xdr:cNvPr id="28" name="TextBox 27">
            <a:extLst>
              <a:ext uri="{FF2B5EF4-FFF2-40B4-BE49-F238E27FC236}">
                <a16:creationId xmlns:a16="http://schemas.microsoft.com/office/drawing/2014/main" id="{543A43D9-85D8-8048-0D1A-3FFEFD1683B4}"/>
              </a:ext>
            </a:extLst>
          </xdr:cNvPr>
          <xdr:cNvSpPr txBox="1"/>
        </xdr:nvSpPr>
        <xdr:spPr>
          <a:xfrm>
            <a:off x="981365" y="1597121"/>
            <a:ext cx="1327726" cy="288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1400" b="0" i="0" u="none" strike="noStrike" baseline="0">
                <a:solidFill>
                  <a:schemeClr val="tx2"/>
                </a:solidFill>
                <a:effectLst/>
                <a:latin typeface="Arial Black" panose="020B0A04020102020204" pitchFamily="34" charset="0"/>
                <a:ea typeface="+mn-ea"/>
                <a:cs typeface="Arial" panose="020B0604020202020204" pitchFamily="34" charset="0"/>
              </a:rPr>
              <a:t>    </a:t>
            </a:r>
            <a:r>
              <a:rPr lang="en-US" sz="1400" b="0" i="0" u="none" strike="noStrike">
                <a:solidFill>
                  <a:schemeClr val="tx2"/>
                </a:solidFill>
                <a:effectLst/>
                <a:latin typeface="Arial Black" panose="020B0A04020102020204" pitchFamily="34" charset="0"/>
                <a:ea typeface="+mn-ea"/>
                <a:cs typeface="Arial" panose="020B0604020202020204" pitchFamily="34" charset="0"/>
              </a:rPr>
              <a:t>Laptop</a:t>
            </a:r>
            <a:r>
              <a:rPr lang="en-US" sz="1600" b="0" i="0" u="none" strike="noStrike">
                <a:solidFill>
                  <a:schemeClr val="tx2"/>
                </a:solidFill>
                <a:effectLst/>
                <a:latin typeface="Arial" panose="020B0604020202020204" pitchFamily="34" charset="0"/>
                <a:ea typeface="+mn-ea"/>
                <a:cs typeface="Arial" panose="020B0604020202020204" pitchFamily="34" charset="0"/>
              </a:rPr>
              <a:t> </a:t>
            </a:r>
            <a:endParaRPr lang="en-US" sz="1600">
              <a:solidFill>
                <a:schemeClr val="tx2"/>
              </a:solidFill>
              <a:latin typeface="Arial" panose="020B0604020202020204" pitchFamily="34" charset="0"/>
              <a:cs typeface="Arial" panose="020B0604020202020204" pitchFamily="34" charset="0"/>
            </a:endParaRPr>
          </a:p>
        </xdr:txBody>
      </xdr:sp>
    </xdr:grpSp>
    <xdr:clientData/>
  </xdr:twoCellAnchor>
  <xdr:twoCellAnchor>
    <xdr:from>
      <xdr:col>12</xdr:col>
      <xdr:colOff>179596</xdr:colOff>
      <xdr:row>6</xdr:row>
      <xdr:rowOff>7954</xdr:rowOff>
    </xdr:from>
    <xdr:to>
      <xdr:col>16</xdr:col>
      <xdr:colOff>6414</xdr:colOff>
      <xdr:row>10</xdr:row>
      <xdr:rowOff>179596</xdr:rowOff>
    </xdr:to>
    <xdr:grpSp>
      <xdr:nvGrpSpPr>
        <xdr:cNvPr id="29" name="Group 28">
          <a:extLst>
            <a:ext uri="{FF2B5EF4-FFF2-40B4-BE49-F238E27FC236}">
              <a16:creationId xmlns:a16="http://schemas.microsoft.com/office/drawing/2014/main" id="{142CD617-3AC5-5A25-838E-845ECFD25708}"/>
            </a:ext>
          </a:extLst>
        </xdr:cNvPr>
        <xdr:cNvGrpSpPr/>
      </xdr:nvGrpSpPr>
      <xdr:grpSpPr>
        <a:xfrm>
          <a:off x="7460929" y="1108621"/>
          <a:ext cx="2253929" cy="905419"/>
          <a:chOff x="141111" y="1124015"/>
          <a:chExt cx="2264192" cy="915682"/>
        </a:xfrm>
      </xdr:grpSpPr>
      <xdr:sp macro="" textlink="">
        <xdr:nvSpPr>
          <xdr:cNvPr id="30" name="Rectangle: Rounded Corners 29">
            <a:extLst>
              <a:ext uri="{FF2B5EF4-FFF2-40B4-BE49-F238E27FC236}">
                <a16:creationId xmlns:a16="http://schemas.microsoft.com/office/drawing/2014/main" id="{5C01808A-4BED-03A0-656A-AE5D01BDB335}"/>
              </a:ext>
            </a:extLst>
          </xdr:cNvPr>
          <xdr:cNvSpPr/>
        </xdr:nvSpPr>
        <xdr:spPr>
          <a:xfrm rot="5400000">
            <a:off x="100189" y="1164937"/>
            <a:ext cx="915682" cy="833838"/>
          </a:xfrm>
          <a:prstGeom prst="roundRect">
            <a:avLst/>
          </a:prstGeom>
          <a:solidFill>
            <a:schemeClr val="tx2"/>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chemeClr val="tx2"/>
              </a:solidFill>
            </a:endParaRPr>
          </a:p>
        </xdr:txBody>
      </xdr:sp>
      <xdr:sp macro="" textlink="">
        <xdr:nvSpPr>
          <xdr:cNvPr id="31" name="Rectangle 30">
            <a:extLst>
              <a:ext uri="{FF2B5EF4-FFF2-40B4-BE49-F238E27FC236}">
                <a16:creationId xmlns:a16="http://schemas.microsoft.com/office/drawing/2014/main" id="{09025DA3-0BC7-03A3-48A4-3E47DB0102DB}"/>
              </a:ext>
            </a:extLst>
          </xdr:cNvPr>
          <xdr:cNvSpPr/>
        </xdr:nvSpPr>
        <xdr:spPr>
          <a:xfrm>
            <a:off x="1160959" y="1250758"/>
            <a:ext cx="1218687" cy="2693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u="none">
                <a:solidFill>
                  <a:schemeClr val="tx2">
                    <a:lumMod val="50000"/>
                  </a:schemeClr>
                </a:solidFill>
                <a:latin typeface="+mj-lt"/>
              </a:rPr>
              <a:t>Top</a:t>
            </a:r>
            <a:r>
              <a:rPr lang="en-US" sz="1400" b="0" i="1" u="none" baseline="0">
                <a:solidFill>
                  <a:schemeClr val="tx2">
                    <a:lumMod val="50000"/>
                  </a:schemeClr>
                </a:solidFill>
                <a:latin typeface="+mj-lt"/>
              </a:rPr>
              <a:t> Region</a:t>
            </a:r>
            <a:endParaRPr lang="en-US" sz="1400" b="0" i="1" u="none">
              <a:solidFill>
                <a:schemeClr val="tx2">
                  <a:lumMod val="50000"/>
                </a:schemeClr>
              </a:solidFill>
              <a:latin typeface="+mj-lt"/>
            </a:endParaRPr>
          </a:p>
          <a:p>
            <a:pPr algn="l"/>
            <a:endParaRPr lang="en-US" sz="1100">
              <a:solidFill>
                <a:schemeClr val="tx1"/>
              </a:solidFill>
            </a:endParaRPr>
          </a:p>
        </xdr:txBody>
      </xdr:sp>
      <xdr:sp macro="" textlink="">
        <xdr:nvSpPr>
          <xdr:cNvPr id="32" name="TextBox 31">
            <a:extLst>
              <a:ext uri="{FF2B5EF4-FFF2-40B4-BE49-F238E27FC236}">
                <a16:creationId xmlns:a16="http://schemas.microsoft.com/office/drawing/2014/main" id="{4C9E7122-E4F5-2BBF-A39B-374426D45583}"/>
              </a:ext>
            </a:extLst>
          </xdr:cNvPr>
          <xdr:cNvSpPr txBox="1"/>
        </xdr:nvSpPr>
        <xdr:spPr>
          <a:xfrm>
            <a:off x="981365" y="1597121"/>
            <a:ext cx="1423938" cy="288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1400" b="0" i="0" u="none" strike="noStrike">
                <a:solidFill>
                  <a:schemeClr val="tx2"/>
                </a:solidFill>
                <a:effectLst/>
                <a:latin typeface="Arial Black" panose="020B0A04020102020204" pitchFamily="34" charset="0"/>
                <a:ea typeface="+mn-ea"/>
                <a:cs typeface="Arial" panose="020B0604020202020204" pitchFamily="34" charset="0"/>
              </a:rPr>
              <a:t>Coimbatore</a:t>
            </a:r>
            <a:r>
              <a:rPr lang="en-US" sz="1600" b="0" i="0" u="none" strike="noStrike">
                <a:solidFill>
                  <a:schemeClr val="tx2"/>
                </a:solidFill>
                <a:effectLst/>
                <a:latin typeface="Arial" panose="020B0604020202020204" pitchFamily="34" charset="0"/>
                <a:ea typeface="+mn-ea"/>
                <a:cs typeface="Arial" panose="020B0604020202020204" pitchFamily="34" charset="0"/>
              </a:rPr>
              <a:t> </a:t>
            </a:r>
            <a:endParaRPr lang="en-US" sz="1600">
              <a:solidFill>
                <a:schemeClr val="tx2"/>
              </a:solidFill>
              <a:latin typeface="Arial" panose="020B0604020202020204" pitchFamily="34" charset="0"/>
              <a:cs typeface="Arial" panose="020B0604020202020204" pitchFamily="34" charset="0"/>
            </a:endParaRPr>
          </a:p>
        </xdr:txBody>
      </xdr:sp>
    </xdr:grpSp>
    <xdr:clientData/>
  </xdr:twoCellAnchor>
  <xdr:twoCellAnchor>
    <xdr:from>
      <xdr:col>2</xdr:col>
      <xdr:colOff>280865</xdr:colOff>
      <xdr:row>0</xdr:row>
      <xdr:rowOff>114300</xdr:rowOff>
    </xdr:from>
    <xdr:to>
      <xdr:col>13</xdr:col>
      <xdr:colOff>366346</xdr:colOff>
      <xdr:row>5</xdr:row>
      <xdr:rowOff>127000</xdr:rowOff>
    </xdr:to>
    <xdr:sp macro="" textlink="">
      <xdr:nvSpPr>
        <xdr:cNvPr id="8" name="TextBox 7">
          <a:extLst>
            <a:ext uri="{FF2B5EF4-FFF2-40B4-BE49-F238E27FC236}">
              <a16:creationId xmlns:a16="http://schemas.microsoft.com/office/drawing/2014/main" id="{27134A02-F564-12D5-16D9-99B4F356DA0C}"/>
            </a:ext>
          </a:extLst>
        </xdr:cNvPr>
        <xdr:cNvSpPr txBox="1"/>
      </xdr:nvSpPr>
      <xdr:spPr>
        <a:xfrm>
          <a:off x="1494421" y="114300"/>
          <a:ext cx="6760036" cy="929922"/>
        </a:xfrm>
        <a:prstGeom prst="rect">
          <a:avLst/>
        </a:prstGeom>
        <a:noFill/>
        <a:ln w="9525" cmpd="sng">
          <a:noFill/>
        </a:ln>
        <a:effectLst>
          <a:outerShdw blurRad="50800" dist="38100" dir="2700000" algn="tl" rotWithShape="0">
            <a:prstClr val="black">
              <a:alpha val="40000"/>
            </a:prstClr>
          </a:outerShdw>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a:solidFill>
                <a:schemeClr val="bg1"/>
              </a:solidFill>
              <a:effectLst/>
              <a:latin typeface="Bodoni MT" panose="02070603080606020203" pitchFamily="18" charset="0"/>
              <a:ea typeface="+mn-ea"/>
              <a:cs typeface="+mn-cs"/>
            </a:rPr>
            <a:t>SALES ANALYSIS DASHBOARD</a:t>
          </a:r>
          <a:r>
            <a:rPr lang="en-US" sz="2800">
              <a:solidFill>
                <a:schemeClr val="bg1"/>
              </a:solidFill>
              <a:effectLst/>
              <a:latin typeface="Bodoni MT" panose="02070603080606020203" pitchFamily="18" charset="0"/>
              <a:ea typeface="+mn-ea"/>
              <a:cs typeface="+mn-cs"/>
            </a:rPr>
            <a:t> </a:t>
          </a:r>
        </a:p>
        <a:p>
          <a:endParaRPr lang="en-US" sz="800">
            <a:solidFill>
              <a:schemeClr val="bg1"/>
            </a:solidFill>
            <a:effectLst/>
            <a:latin typeface="Bodoni MT" panose="02070603080606020203" pitchFamily="18" charset="0"/>
            <a:ea typeface="+mn-ea"/>
            <a:cs typeface="+mn-cs"/>
          </a:endParaRPr>
        </a:p>
        <a:p>
          <a:r>
            <a:rPr lang="en-US" sz="1400">
              <a:solidFill>
                <a:schemeClr val="bg1"/>
              </a:solidFill>
              <a:latin typeface="Bodoni MT" panose="02070603080606020203" pitchFamily="18" charset="0"/>
            </a:rPr>
            <a:t>Track  |</a:t>
          </a:r>
          <a:r>
            <a:rPr lang="en-US" sz="1400" baseline="0">
              <a:solidFill>
                <a:schemeClr val="bg1"/>
              </a:solidFill>
              <a:latin typeface="Bodoni MT" panose="02070603080606020203" pitchFamily="18" charset="0"/>
            </a:rPr>
            <a:t>  Analyze  |  Grow</a:t>
          </a:r>
        </a:p>
        <a:p>
          <a:endParaRPr lang="en-US" sz="1100">
            <a:solidFill>
              <a:schemeClr val="bg1"/>
            </a:solidFill>
            <a:latin typeface="Bodoni MT" panose="02070603080606020203" pitchFamily="18" charset="0"/>
          </a:endParaRPr>
        </a:p>
      </xdr:txBody>
    </xdr:sp>
    <xdr:clientData/>
  </xdr:twoCellAnchor>
  <xdr:twoCellAnchor>
    <xdr:from>
      <xdr:col>0</xdr:col>
      <xdr:colOff>141111</xdr:colOff>
      <xdr:row>5</xdr:row>
      <xdr:rowOff>141110</xdr:rowOff>
    </xdr:from>
    <xdr:to>
      <xdr:col>1</xdr:col>
      <xdr:colOff>372021</xdr:colOff>
      <xdr:row>11</xdr:row>
      <xdr:rowOff>83383</xdr:rowOff>
    </xdr:to>
    <xdr:sp macro="" textlink="">
      <xdr:nvSpPr>
        <xdr:cNvPr id="9" name="Oval 8">
          <a:extLst>
            <a:ext uri="{FF2B5EF4-FFF2-40B4-BE49-F238E27FC236}">
              <a16:creationId xmlns:a16="http://schemas.microsoft.com/office/drawing/2014/main" id="{42A7F0A4-20DB-2AE6-C7FD-653F5DC5C399}"/>
            </a:ext>
          </a:extLst>
        </xdr:cNvPr>
        <xdr:cNvSpPr/>
      </xdr:nvSpPr>
      <xdr:spPr>
        <a:xfrm>
          <a:off x="141111" y="1071161"/>
          <a:ext cx="840253" cy="1058333"/>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0" i="0" u="none" strike="noStrike">
              <a:solidFill>
                <a:schemeClr val="lt1"/>
              </a:solidFill>
              <a:effectLst/>
              <a:latin typeface="+mn-lt"/>
              <a:ea typeface="+mn-ea"/>
              <a:cs typeface="+mn-cs"/>
            </a:rPr>
            <a:t>₹</a:t>
          </a:r>
          <a:r>
            <a:rPr lang="en-US" sz="3600">
              <a:effectLst/>
            </a:rPr>
            <a:t> </a:t>
          </a:r>
          <a:endParaRPr lang="en-US" sz="3600"/>
        </a:p>
      </xdr:txBody>
    </xdr:sp>
    <xdr:clientData/>
  </xdr:twoCellAnchor>
  <xdr:twoCellAnchor editAs="oneCell">
    <xdr:from>
      <xdr:col>4</xdr:col>
      <xdr:colOff>186009</xdr:colOff>
      <xdr:row>6</xdr:row>
      <xdr:rowOff>144857</xdr:rowOff>
    </xdr:from>
    <xdr:to>
      <xdr:col>5</xdr:col>
      <xdr:colOff>216746</xdr:colOff>
      <xdr:row>10</xdr:row>
      <xdr:rowOff>40897</xdr:rowOff>
    </xdr:to>
    <xdr:pic>
      <xdr:nvPicPr>
        <xdr:cNvPr id="12" name="Picture 11">
          <a:extLst>
            <a:ext uri="{FF2B5EF4-FFF2-40B4-BE49-F238E27FC236}">
              <a16:creationId xmlns:a16="http://schemas.microsoft.com/office/drawing/2014/main" id="{E7A59425-F71C-E9F7-8C2B-16E77C1A811B}"/>
            </a:ext>
          </a:extLst>
        </xdr:cNvPr>
        <xdr:cNvPicPr>
          <a:picLocks noChangeAspect="1"/>
        </xdr:cNvPicPr>
      </xdr:nvPicPr>
      <xdr:blipFill rotWithShape="1">
        <a:blip xmlns:r="http://schemas.openxmlformats.org/officeDocument/2006/relationships" r:embed="rId1">
          <a:duotone>
            <a:schemeClr val="bg2">
              <a:shade val="45000"/>
              <a:satMod val="135000"/>
            </a:schemeClr>
            <a:prstClr val="white"/>
          </a:duotone>
          <a:alphaModFix/>
          <a:extLst>
            <a:ext uri="{BEBA8EAE-BF5A-486C-A8C5-ECC9F3942E4B}">
              <a14:imgProps xmlns:a14="http://schemas.microsoft.com/office/drawing/2010/main">
                <a14:imgLayer r:embed="rId2">
                  <a14:imgEffect>
                    <a14:sharpenSoften amount="100000"/>
                  </a14:imgEffect>
                  <a14:imgEffect>
                    <a14:colorTemperature colorTemp="11500"/>
                  </a14:imgEffect>
                  <a14:imgEffect>
                    <a14:saturation sat="400000"/>
                  </a14:imgEffect>
                  <a14:imgEffect>
                    <a14:brightnessContrast bright="100000" contrast="100000"/>
                  </a14:imgEffect>
                </a14:imgLayer>
              </a14:imgProps>
            </a:ext>
          </a:extLst>
        </a:blip>
        <a:srcRect l="-3486" t="6201" r="15986" b="6881"/>
        <a:stretch>
          <a:fillRect/>
        </a:stretch>
      </xdr:blipFill>
      <xdr:spPr>
        <a:xfrm>
          <a:off x="2623383" y="1260918"/>
          <a:ext cx="640080" cy="640080"/>
        </a:xfrm>
        <a:prstGeom prst="rect">
          <a:avLst/>
        </a:prstGeom>
        <a:ln>
          <a:noFill/>
        </a:ln>
        <a:effectLst>
          <a:glow>
            <a:schemeClr val="accent1">
              <a:alpha val="0"/>
            </a:schemeClr>
          </a:glow>
        </a:effectLst>
      </xdr:spPr>
    </xdr:pic>
    <xdr:clientData/>
  </xdr:twoCellAnchor>
  <xdr:twoCellAnchor editAs="oneCell">
    <xdr:from>
      <xdr:col>8</xdr:col>
      <xdr:colOff>199220</xdr:colOff>
      <xdr:row>6</xdr:row>
      <xdr:rowOff>32072</xdr:rowOff>
    </xdr:from>
    <xdr:to>
      <xdr:col>9</xdr:col>
      <xdr:colOff>443234</xdr:colOff>
      <xdr:row>10</xdr:row>
      <xdr:rowOff>147768</xdr:rowOff>
    </xdr:to>
    <xdr:pic>
      <xdr:nvPicPr>
        <xdr:cNvPr id="17" name="Picture 16" descr="Flat laptop icon laptop PNG Design">
          <a:extLst>
            <a:ext uri="{FF2B5EF4-FFF2-40B4-BE49-F238E27FC236}">
              <a16:creationId xmlns:a16="http://schemas.microsoft.com/office/drawing/2014/main" id="{3C21C31D-F4A8-DB23-D0C8-16296EFEBB0C}"/>
            </a:ext>
          </a:extLst>
        </xdr:cNvPr>
        <xdr:cNvPicPr>
          <a:picLocks noChangeAspect="1" noChangeArrowheads="1"/>
        </xdr:cNvPicPr>
      </xdr:nvPicPr>
      <xdr:blipFill>
        <a:blip xmlns:r="http://schemas.openxmlformats.org/officeDocument/2006/relationships" r:embed="rId3" cstate="print">
          <a:alphaModFix/>
          <a:extLst>
            <a:ext uri="{BEBA8EAE-BF5A-486C-A8C5-ECC9F3942E4B}">
              <a14:imgProps xmlns:a14="http://schemas.microsoft.com/office/drawing/2010/main">
                <a14:imgLayer r:embed="rId4">
                  <a14:imgEffect>
                    <a14:sharpenSoften amount="-82000"/>
                  </a14:imgEffect>
                  <a14:imgEffect>
                    <a14:brightnessContrast bright="100000" contrast="100000"/>
                  </a14:imgEffect>
                </a14:imgLayer>
              </a14:imgProps>
            </a:ext>
            <a:ext uri="{28A0092B-C50C-407E-A947-70E740481C1C}">
              <a14:useLocalDpi xmlns:a14="http://schemas.microsoft.com/office/drawing/2010/main" val="0"/>
            </a:ext>
          </a:extLst>
        </a:blip>
        <a:srcRect/>
        <a:stretch>
          <a:fillRect/>
        </a:stretch>
      </xdr:blipFill>
      <xdr:spPr bwMode="auto">
        <a:xfrm>
          <a:off x="5073967" y="1148133"/>
          <a:ext cx="853358" cy="859736"/>
        </a:xfrm>
        <a:prstGeom prst="rect">
          <a:avLst/>
        </a:prstGeom>
        <a:noFill/>
        <a:ln>
          <a:noFill/>
        </a:ln>
        <a:effectLst/>
      </xdr:spPr>
    </xdr:pic>
    <xdr:clientData/>
  </xdr:twoCellAnchor>
  <xdr:twoCellAnchor editAs="oneCell">
    <xdr:from>
      <xdr:col>11</xdr:col>
      <xdr:colOff>0</xdr:colOff>
      <xdr:row>27</xdr:row>
      <xdr:rowOff>0</xdr:rowOff>
    </xdr:from>
    <xdr:to>
      <xdr:col>11</xdr:col>
      <xdr:colOff>241300</xdr:colOff>
      <xdr:row>28</xdr:row>
      <xdr:rowOff>57150</xdr:rowOff>
    </xdr:to>
    <xdr:sp macro="" textlink="">
      <xdr:nvSpPr>
        <xdr:cNvPr id="1026" name="AutoShape 2" descr="Edit colors icon">
          <a:hlinkClick xmlns:r="http://schemas.openxmlformats.org/officeDocument/2006/relationships" r:id="rId5" tgtFrame="_blank"/>
          <a:extLst>
            <a:ext uri="{FF2B5EF4-FFF2-40B4-BE49-F238E27FC236}">
              <a16:creationId xmlns:a16="http://schemas.microsoft.com/office/drawing/2014/main" id="{FBE16F61-D04F-C41E-EC21-BED206049EE4}"/>
            </a:ext>
          </a:extLst>
        </xdr:cNvPr>
        <xdr:cNvSpPr>
          <a:spLocks noChangeAspect="1" noChangeArrowheads="1"/>
        </xdr:cNvSpPr>
      </xdr:nvSpPr>
      <xdr:spPr bwMode="auto">
        <a:xfrm>
          <a:off x="6705600" y="5543550"/>
          <a:ext cx="241300" cy="241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29</xdr:row>
      <xdr:rowOff>0</xdr:rowOff>
    </xdr:from>
    <xdr:to>
      <xdr:col>14</xdr:col>
      <xdr:colOff>241300</xdr:colOff>
      <xdr:row>30</xdr:row>
      <xdr:rowOff>57150</xdr:rowOff>
    </xdr:to>
    <xdr:sp macro="" textlink="">
      <xdr:nvSpPr>
        <xdr:cNvPr id="1030" name="AutoShape 6" descr="Edit colors icon">
          <a:hlinkClick xmlns:r="http://schemas.openxmlformats.org/officeDocument/2006/relationships" r:id="rId5" tgtFrame="_blank"/>
          <a:extLst>
            <a:ext uri="{FF2B5EF4-FFF2-40B4-BE49-F238E27FC236}">
              <a16:creationId xmlns:a16="http://schemas.microsoft.com/office/drawing/2014/main" id="{88BD8567-5417-390E-C5C8-000D25EF6B60}"/>
            </a:ext>
          </a:extLst>
        </xdr:cNvPr>
        <xdr:cNvSpPr>
          <a:spLocks noChangeAspect="1" noChangeArrowheads="1"/>
        </xdr:cNvSpPr>
      </xdr:nvSpPr>
      <xdr:spPr bwMode="auto">
        <a:xfrm>
          <a:off x="8534400" y="5949950"/>
          <a:ext cx="241300" cy="241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256566</xdr:colOff>
      <xdr:row>6</xdr:row>
      <xdr:rowOff>160353</xdr:rowOff>
    </xdr:from>
    <xdr:to>
      <xdr:col>13</xdr:col>
      <xdr:colOff>320707</xdr:colOff>
      <xdr:row>10</xdr:row>
      <xdr:rowOff>89798</xdr:rowOff>
    </xdr:to>
    <xdr:pic>
      <xdr:nvPicPr>
        <xdr:cNvPr id="20" name="Picture 19">
          <a:extLst>
            <a:ext uri="{FF2B5EF4-FFF2-40B4-BE49-F238E27FC236}">
              <a16:creationId xmlns:a16="http://schemas.microsoft.com/office/drawing/2014/main" id="{D755EDEB-1C0D-9CB3-A9EC-1DE15BCFA34F}"/>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bright="100000" contrast="100000"/>
                  </a14:imgEffect>
                </a14:imgLayer>
              </a14:imgProps>
            </a:ext>
          </a:extLst>
        </a:blip>
        <a:stretch>
          <a:fillRect/>
        </a:stretch>
      </xdr:blipFill>
      <xdr:spPr>
        <a:xfrm>
          <a:off x="7568687" y="1276414"/>
          <a:ext cx="673485" cy="673485"/>
        </a:xfrm>
        <a:prstGeom prst="rect">
          <a:avLst/>
        </a:prstGeom>
      </xdr:spPr>
    </xdr:pic>
    <xdr:clientData/>
  </xdr:twoCellAnchor>
  <xdr:twoCellAnchor>
    <xdr:from>
      <xdr:col>0</xdr:col>
      <xdr:colOff>14111</xdr:colOff>
      <xdr:row>11</xdr:row>
      <xdr:rowOff>66322</xdr:rowOff>
    </xdr:from>
    <xdr:to>
      <xdr:col>7</xdr:col>
      <xdr:colOff>345723</xdr:colOff>
      <xdr:row>26</xdr:row>
      <xdr:rowOff>79022</xdr:rowOff>
    </xdr:to>
    <xdr:graphicFrame macro="">
      <xdr:nvGraphicFramePr>
        <xdr:cNvPr id="43" name="Chart 42">
          <a:extLst>
            <a:ext uri="{FF2B5EF4-FFF2-40B4-BE49-F238E27FC236}">
              <a16:creationId xmlns:a16="http://schemas.microsoft.com/office/drawing/2014/main" id="{F9B4A64B-46CF-48E9-8E6A-6770B574D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409223</xdr:colOff>
      <xdr:row>26</xdr:row>
      <xdr:rowOff>70555</xdr:rowOff>
    </xdr:from>
    <xdr:to>
      <xdr:col>16</xdr:col>
      <xdr:colOff>114299</xdr:colOff>
      <xdr:row>45</xdr:row>
      <xdr:rowOff>101601</xdr:rowOff>
    </xdr:to>
    <xdr:graphicFrame macro="">
      <xdr:nvGraphicFramePr>
        <xdr:cNvPr id="44" name="Chart 43">
          <a:extLst>
            <a:ext uri="{FF2B5EF4-FFF2-40B4-BE49-F238E27FC236}">
              <a16:creationId xmlns:a16="http://schemas.microsoft.com/office/drawing/2014/main" id="{63B46C17-1FBB-4B2A-953A-A6A60A46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141111</xdr:colOff>
      <xdr:row>27</xdr:row>
      <xdr:rowOff>112889</xdr:rowOff>
    </xdr:from>
    <xdr:to>
      <xdr:col>7</xdr:col>
      <xdr:colOff>239889</xdr:colOff>
      <xdr:row>47</xdr:row>
      <xdr:rowOff>14111</xdr:rowOff>
    </xdr:to>
    <xdr:graphicFrame macro="">
      <xdr:nvGraphicFramePr>
        <xdr:cNvPr id="45" name="Chart 44">
          <a:extLst>
            <a:ext uri="{FF2B5EF4-FFF2-40B4-BE49-F238E27FC236}">
              <a16:creationId xmlns:a16="http://schemas.microsoft.com/office/drawing/2014/main" id="{387B9C3D-C5D6-4267-B0D2-5ADCAD1E5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343286</xdr:colOff>
      <xdr:row>11</xdr:row>
      <xdr:rowOff>127000</xdr:rowOff>
    </xdr:from>
    <xdr:to>
      <xdr:col>16</xdr:col>
      <xdr:colOff>201855</xdr:colOff>
      <xdr:row>26</xdr:row>
      <xdr:rowOff>14111</xdr:rowOff>
    </xdr:to>
    <xdr:graphicFrame macro="">
      <xdr:nvGraphicFramePr>
        <xdr:cNvPr id="46" name="Chart 45">
          <a:extLst>
            <a:ext uri="{FF2B5EF4-FFF2-40B4-BE49-F238E27FC236}">
              <a16:creationId xmlns:a16="http://schemas.microsoft.com/office/drawing/2014/main" id="{9A06E4AE-C6BB-4CAE-84EA-9998DC2A0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16</xdr:col>
      <xdr:colOff>222634</xdr:colOff>
      <xdr:row>33</xdr:row>
      <xdr:rowOff>139700</xdr:rowOff>
    </xdr:from>
    <xdr:to>
      <xdr:col>20</xdr:col>
      <xdr:colOff>178820</xdr:colOff>
      <xdr:row>45</xdr:row>
      <xdr:rowOff>63500</xdr:rowOff>
    </xdr:to>
    <mc:AlternateContent xmlns:mc="http://schemas.openxmlformats.org/markup-compatibility/2006" xmlns:a14="http://schemas.microsoft.com/office/drawing/2010/main">
      <mc:Choice Requires="a14">
        <xdr:graphicFrame macro="">
          <xdr:nvGraphicFramePr>
            <xdr:cNvPr id="51" name="Month 3">
              <a:extLst>
                <a:ext uri="{FF2B5EF4-FFF2-40B4-BE49-F238E27FC236}">
                  <a16:creationId xmlns:a16="http://schemas.microsoft.com/office/drawing/2014/main" id="{34492B58-6B6D-436F-8648-3EBF00415E01}"/>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9931078" y="6828367"/>
              <a:ext cx="2383298" cy="2125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215900</xdr:colOff>
      <xdr:row>22</xdr:row>
      <xdr:rowOff>127000</xdr:rowOff>
    </xdr:from>
    <xdr:to>
      <xdr:col>20</xdr:col>
      <xdr:colOff>172086</xdr:colOff>
      <xdr:row>33</xdr:row>
      <xdr:rowOff>149860</xdr:rowOff>
    </xdr:to>
    <mc:AlternateContent xmlns:mc="http://schemas.openxmlformats.org/markup-compatibility/2006" xmlns:a14="http://schemas.microsoft.com/office/drawing/2010/main">
      <mc:Choice Requires="a14">
        <xdr:graphicFrame macro="">
          <xdr:nvGraphicFramePr>
            <xdr:cNvPr id="52" name="Product 3">
              <a:extLst>
                <a:ext uri="{FF2B5EF4-FFF2-40B4-BE49-F238E27FC236}">
                  <a16:creationId xmlns:a16="http://schemas.microsoft.com/office/drawing/2014/main" id="{BDC61A7E-F57D-4115-B289-AE58236FF0F2}"/>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9924344" y="4713111"/>
              <a:ext cx="2383298" cy="2125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215900</xdr:colOff>
      <xdr:row>14</xdr:row>
      <xdr:rowOff>254000</xdr:rowOff>
    </xdr:from>
    <xdr:to>
      <xdr:col>20</xdr:col>
      <xdr:colOff>143510</xdr:colOff>
      <xdr:row>22</xdr:row>
      <xdr:rowOff>127000</xdr:rowOff>
    </xdr:to>
    <mc:AlternateContent xmlns:mc="http://schemas.openxmlformats.org/markup-compatibility/2006" xmlns:a14="http://schemas.microsoft.com/office/drawing/2010/main">
      <mc:Choice Requires="a14">
        <xdr:graphicFrame macro="">
          <xdr:nvGraphicFramePr>
            <xdr:cNvPr id="53" name="Category 3">
              <a:extLst>
                <a:ext uri="{FF2B5EF4-FFF2-40B4-BE49-F238E27FC236}">
                  <a16:creationId xmlns:a16="http://schemas.microsoft.com/office/drawing/2014/main" id="{B49F3DFA-017E-4EE5-B8F9-FF2EB1409A47}"/>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9924344" y="2864556"/>
              <a:ext cx="2354722" cy="1848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231512</xdr:colOff>
      <xdr:row>5</xdr:row>
      <xdr:rowOff>121997</xdr:rowOff>
    </xdr:from>
    <xdr:to>
      <xdr:col>20</xdr:col>
      <xdr:colOff>159122</xdr:colOff>
      <xdr:row>14</xdr:row>
      <xdr:rowOff>279400</xdr:rowOff>
    </xdr:to>
    <mc:AlternateContent xmlns:mc="http://schemas.openxmlformats.org/markup-compatibility/2006" xmlns:a14="http://schemas.microsoft.com/office/drawing/2010/main">
      <mc:Choice Requires="a14">
        <xdr:graphicFrame macro="">
          <xdr:nvGraphicFramePr>
            <xdr:cNvPr id="54" name="Region 4">
              <a:extLst>
                <a:ext uri="{FF2B5EF4-FFF2-40B4-BE49-F238E27FC236}">
                  <a16:creationId xmlns:a16="http://schemas.microsoft.com/office/drawing/2014/main" id="{893C7787-CE8A-4A84-A702-67C94DE3101F}"/>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9939956" y="1039219"/>
              <a:ext cx="2354722" cy="1850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0</xdr:row>
      <xdr:rowOff>114300</xdr:rowOff>
    </xdr:from>
    <xdr:to>
      <xdr:col>2</xdr:col>
      <xdr:colOff>88900</xdr:colOff>
      <xdr:row>5</xdr:row>
      <xdr:rowOff>25400</xdr:rowOff>
    </xdr:to>
    <xdr:pic>
      <xdr:nvPicPr>
        <xdr:cNvPr id="5" name="Picture 4">
          <a:extLst>
            <a:ext uri="{FF2B5EF4-FFF2-40B4-BE49-F238E27FC236}">
              <a16:creationId xmlns:a16="http://schemas.microsoft.com/office/drawing/2014/main" id="{5555C824-491B-8B25-460A-C9CB161DC23E}"/>
            </a:ext>
          </a:extLst>
        </xdr:cNvPr>
        <xdr:cNvPicPr>
          <a:picLocks noChangeAspect="1"/>
        </xdr:cNvPicPr>
      </xdr:nvPicPr>
      <xdr:blipFill>
        <a:blip xmlns:r="http://schemas.openxmlformats.org/officeDocument/2006/relationships" r:embed="rId12">
          <a:clrChange>
            <a:clrFrom>
              <a:srgbClr val="000000">
                <a:alpha val="0"/>
              </a:srgbClr>
            </a:clrFrom>
            <a:clrTo>
              <a:srgbClr val="000000">
                <a:alpha val="0"/>
              </a:srgbClr>
            </a:clrTo>
          </a:clrChange>
          <a:alphaModFix/>
          <a:duotone>
            <a:schemeClr val="accent5">
              <a:shade val="45000"/>
              <a:satMod val="135000"/>
            </a:schemeClr>
            <a:prstClr val="white"/>
          </a:duotone>
          <a:extLst>
            <a:ext uri="{BEBA8EAE-BF5A-486C-A8C5-ECC9F3942E4B}">
              <a14:imgProps xmlns:a14="http://schemas.microsoft.com/office/drawing/2010/main">
                <a14:imgLayer r:embed="rId13">
                  <a14:imgEffect>
                    <a14:artisticPhotocopy/>
                  </a14:imgEffect>
                  <a14:imgEffect>
                    <a14:colorTemperature colorTemp="11200"/>
                  </a14:imgEffect>
                  <a14:imgEffect>
                    <a14:saturation sat="300000"/>
                  </a14:imgEffect>
                  <a14:imgEffect>
                    <a14:brightnessContrast bright="100000" contrast="100000"/>
                  </a14:imgEffect>
                </a14:imgLayer>
              </a14:imgProps>
            </a:ext>
          </a:extLst>
        </a:blip>
        <a:stretch>
          <a:fillRect/>
        </a:stretch>
      </xdr:blipFill>
      <xdr:spPr>
        <a:xfrm>
          <a:off x="152400" y="114300"/>
          <a:ext cx="1155700" cy="863600"/>
        </a:xfrm>
        <a:prstGeom prst="rect">
          <a:avLst/>
        </a:prstGeom>
        <a:noFill/>
        <a:ln>
          <a:noFill/>
        </a:ln>
      </xdr:spPr>
    </xdr:pic>
    <xdr:clientData/>
  </xdr:twoCellAnchor>
  <xdr:twoCellAnchor editAs="oneCell">
    <xdr:from>
      <xdr:col>16</xdr:col>
      <xdr:colOff>303553</xdr:colOff>
      <xdr:row>0</xdr:row>
      <xdr:rowOff>145344</xdr:rowOff>
    </xdr:from>
    <xdr:to>
      <xdr:col>17</xdr:col>
      <xdr:colOff>392288</xdr:colOff>
      <xdr:row>4</xdr:row>
      <xdr:rowOff>119944</xdr:rowOff>
    </xdr:to>
    <xdr:pic>
      <xdr:nvPicPr>
        <xdr:cNvPr id="18" name="Picture 17">
          <a:extLst>
            <a:ext uri="{FF2B5EF4-FFF2-40B4-BE49-F238E27FC236}">
              <a16:creationId xmlns:a16="http://schemas.microsoft.com/office/drawing/2014/main" id="{456A7483-20EC-209D-60B9-AAFFBF37BA17}"/>
            </a:ext>
          </a:extLst>
        </xdr:cNvPr>
        <xdr:cNvPicPr>
          <a:picLocks noChangeAspect="1"/>
        </xdr:cNvPicPr>
      </xdr:nvPicPr>
      <xdr:blipFill>
        <a:blip xmlns:r="http://schemas.openxmlformats.org/officeDocument/2006/relationships" r:embed="rId14">
          <a:extLst>
            <a:ext uri="{BEBA8EAE-BF5A-486C-A8C5-ECC9F3942E4B}">
              <a14:imgProps xmlns:a14="http://schemas.microsoft.com/office/drawing/2010/main">
                <a14:imgLayer r:embed="rId15">
                  <a14:imgEffect>
                    <a14:sharpenSoften amount="-50000"/>
                  </a14:imgEffect>
                  <a14:imgEffect>
                    <a14:colorTemperature colorTemp="7200"/>
                  </a14:imgEffect>
                  <a14:imgEffect>
                    <a14:brightnessContrast bright="100000" contrast="100000"/>
                  </a14:imgEffect>
                </a14:imgLayer>
              </a14:imgProps>
            </a:ext>
          </a:extLst>
        </a:blip>
        <a:stretch>
          <a:fillRect/>
        </a:stretch>
      </xdr:blipFill>
      <xdr:spPr>
        <a:xfrm>
          <a:off x="10011997" y="145344"/>
          <a:ext cx="695513" cy="708378"/>
        </a:xfrm>
        <a:prstGeom prst="rect">
          <a:avLst/>
        </a:prstGeom>
      </xdr:spPr>
    </xdr:pic>
    <xdr:clientData/>
  </xdr:twoCellAnchor>
  <xdr:twoCellAnchor>
    <xdr:from>
      <xdr:col>31</xdr:col>
      <xdr:colOff>0</xdr:colOff>
      <xdr:row>18</xdr:row>
      <xdr:rowOff>0</xdr:rowOff>
    </xdr:from>
    <xdr:to>
      <xdr:col>31</xdr:col>
      <xdr:colOff>381000</xdr:colOff>
      <xdr:row>19</xdr:row>
      <xdr:rowOff>82550</xdr:rowOff>
    </xdr:to>
    <xdr:sp macro="" textlink="">
      <xdr:nvSpPr>
        <xdr:cNvPr id="1027" name="Text Box 3">
          <a:extLst>
            <a:ext uri="{FF2B5EF4-FFF2-40B4-BE49-F238E27FC236}">
              <a16:creationId xmlns:a16="http://schemas.microsoft.com/office/drawing/2014/main" id="{0CFAE500-6B25-E9B6-BCD7-BF25A108815E}"/>
            </a:ext>
          </a:extLst>
        </xdr:cNvPr>
        <xdr:cNvSpPr txBox="1">
          <a:spLocks noChangeArrowheads="1"/>
        </xdr:cNvSpPr>
      </xdr:nvSpPr>
      <xdr:spPr bwMode="auto">
        <a:xfrm>
          <a:off x="18897600" y="3848100"/>
          <a:ext cx="381000" cy="2667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editAs="oneCell">
    <xdr:from>
      <xdr:col>0</xdr:col>
      <xdr:colOff>191911</xdr:colOff>
      <xdr:row>12</xdr:row>
      <xdr:rowOff>70556</xdr:rowOff>
    </xdr:from>
    <xdr:to>
      <xdr:col>0</xdr:col>
      <xdr:colOff>586494</xdr:colOff>
      <xdr:row>14</xdr:row>
      <xdr:rowOff>57856</xdr:rowOff>
    </xdr:to>
    <xdr:pic>
      <xdr:nvPicPr>
        <xdr:cNvPr id="19" name="Picture 18">
          <a:extLst>
            <a:ext uri="{FF2B5EF4-FFF2-40B4-BE49-F238E27FC236}">
              <a16:creationId xmlns:a16="http://schemas.microsoft.com/office/drawing/2014/main" id="{6EFB7BE0-12B5-F352-121C-A7F5EFCF2E94}"/>
            </a:ext>
          </a:extLst>
        </xdr:cNvPr>
        <xdr:cNvPicPr>
          <a:picLocks noChangeAspect="1" noChangeArrowheads="1"/>
        </xdr:cNvPicPr>
      </xdr:nvPicPr>
      <xdr:blipFill>
        <a:blip xmlns:r="http://schemas.openxmlformats.org/officeDocument/2006/relationships" r:embed="rId16"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91911" y="2271889"/>
          <a:ext cx="394583" cy="396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510822</xdr:colOff>
      <xdr:row>11</xdr:row>
      <xdr:rowOff>166513</xdr:rowOff>
    </xdr:from>
    <xdr:to>
      <xdr:col>8</xdr:col>
      <xdr:colOff>323777</xdr:colOff>
      <xdr:row>13</xdr:row>
      <xdr:rowOff>134057</xdr:rowOff>
    </xdr:to>
    <xdr:pic>
      <xdr:nvPicPr>
        <xdr:cNvPr id="34" name="Picture 33">
          <a:extLst>
            <a:ext uri="{FF2B5EF4-FFF2-40B4-BE49-F238E27FC236}">
              <a16:creationId xmlns:a16="http://schemas.microsoft.com/office/drawing/2014/main" id="{DA1E1FA9-1F22-B571-E0AD-126E5E90D35D}"/>
            </a:ext>
          </a:extLst>
        </xdr:cNvPr>
        <xdr:cNvPicPr>
          <a:picLocks noChangeAspect="1"/>
        </xdr:cNvPicPr>
      </xdr:nvPicPr>
      <xdr:blipFill>
        <a:blip xmlns:r="http://schemas.openxmlformats.org/officeDocument/2006/relationships" r:embed="rId17">
          <a:biLevel thresh="75000"/>
          <a:extLst>
            <a:ext uri="{BEBA8EAE-BF5A-486C-A8C5-ECC9F3942E4B}">
              <a14:imgProps xmlns:a14="http://schemas.microsoft.com/office/drawing/2010/main">
                <a14:imgLayer r:embed="rId18">
                  <a14:imgEffect>
                    <a14:saturation sat="0"/>
                  </a14:imgEffect>
                </a14:imgLayer>
              </a14:imgProps>
            </a:ext>
          </a:extLst>
        </a:blip>
        <a:stretch>
          <a:fillRect/>
        </a:stretch>
      </xdr:blipFill>
      <xdr:spPr>
        <a:xfrm>
          <a:off x="4758266" y="2184402"/>
          <a:ext cx="419733" cy="334433"/>
        </a:xfrm>
        <a:prstGeom prst="rect">
          <a:avLst/>
        </a:prstGeom>
      </xdr:spPr>
    </xdr:pic>
    <xdr:clientData/>
  </xdr:twoCellAnchor>
  <xdr:twoCellAnchor editAs="oneCell">
    <xdr:from>
      <xdr:col>0</xdr:col>
      <xdr:colOff>177800</xdr:colOff>
      <xdr:row>28</xdr:row>
      <xdr:rowOff>109361</xdr:rowOff>
    </xdr:from>
    <xdr:to>
      <xdr:col>0</xdr:col>
      <xdr:colOff>479778</xdr:colOff>
      <xdr:row>30</xdr:row>
      <xdr:rowOff>6011</xdr:rowOff>
    </xdr:to>
    <xdr:pic>
      <xdr:nvPicPr>
        <xdr:cNvPr id="39" name="Picture 38">
          <a:extLst>
            <a:ext uri="{FF2B5EF4-FFF2-40B4-BE49-F238E27FC236}">
              <a16:creationId xmlns:a16="http://schemas.microsoft.com/office/drawing/2014/main" id="{6D4E3790-C105-A9AD-9259-5C7571CEF6C3}"/>
            </a:ext>
          </a:extLst>
        </xdr:cNvPr>
        <xdr:cNvPicPr>
          <a:picLocks noChangeAspect="1" noChangeArrowheads="1"/>
        </xdr:cNvPicPr>
      </xdr:nvPicPr>
      <xdr:blipFill>
        <a:blip xmlns:r="http://schemas.openxmlformats.org/officeDocument/2006/relationships" r:embed="rId19" cstate="print">
          <a:extLst>
            <a:ext uri="{BEBA8EAE-BF5A-486C-A8C5-ECC9F3942E4B}">
              <a14:imgProps xmlns:a14="http://schemas.microsoft.com/office/drawing/2010/main">
                <a14:imgLayer r:embed="rId20">
                  <a14:imgEffect>
                    <a14:saturation sat="33000"/>
                  </a14:imgEffect>
                </a14:imgLayer>
              </a14:imgProps>
            </a:ext>
            <a:ext uri="{28A0092B-C50C-407E-A947-70E740481C1C}">
              <a14:useLocalDpi xmlns:a14="http://schemas.microsoft.com/office/drawing/2010/main" val="0"/>
            </a:ext>
          </a:extLst>
        </a:blip>
        <a:srcRect/>
        <a:stretch>
          <a:fillRect/>
        </a:stretch>
      </xdr:blipFill>
      <xdr:spPr bwMode="auto">
        <a:xfrm flipH="1" flipV="1">
          <a:off x="177800" y="5838472"/>
          <a:ext cx="301978" cy="3058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482600</xdr:colOff>
      <xdr:row>26</xdr:row>
      <xdr:rowOff>178543</xdr:rowOff>
    </xdr:from>
    <xdr:to>
      <xdr:col>8</xdr:col>
      <xdr:colOff>275082</xdr:colOff>
      <xdr:row>28</xdr:row>
      <xdr:rowOff>166512</xdr:rowOff>
    </xdr:to>
    <xdr:pic>
      <xdr:nvPicPr>
        <xdr:cNvPr id="40" name="Picture 39">
          <a:extLst>
            <a:ext uri="{FF2B5EF4-FFF2-40B4-BE49-F238E27FC236}">
              <a16:creationId xmlns:a16="http://schemas.microsoft.com/office/drawing/2014/main" id="{5449112D-C6B8-6A6D-C9CF-EEFB839438FB}"/>
            </a:ext>
          </a:extLst>
        </xdr:cNvPr>
        <xdr:cNvPicPr>
          <a:picLocks noChangeAspect="1" noChangeArrowheads="1"/>
        </xdr:cNvPicPr>
      </xdr:nvPicPr>
      <xdr:blipFill>
        <a:blip xmlns:r="http://schemas.openxmlformats.org/officeDocument/2006/relationships" r:embed="rId21"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730044" y="5498432"/>
          <a:ext cx="399260" cy="3971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241300</xdr:colOff>
      <xdr:row>0</xdr:row>
      <xdr:rowOff>88900</xdr:rowOff>
    </xdr:from>
    <xdr:to>
      <xdr:col>19</xdr:col>
      <xdr:colOff>431800</xdr:colOff>
      <xdr:row>4</xdr:row>
      <xdr:rowOff>127000</xdr:rowOff>
    </xdr:to>
    <xdr:pic>
      <xdr:nvPicPr>
        <xdr:cNvPr id="41" name="Picture 40">
          <a:extLst>
            <a:ext uri="{FF2B5EF4-FFF2-40B4-BE49-F238E27FC236}">
              <a16:creationId xmlns:a16="http://schemas.microsoft.com/office/drawing/2014/main" id="{63947F10-2D63-CBF4-6C19-5552B06AC610}"/>
            </a:ext>
          </a:extLst>
        </xdr:cNvPr>
        <xdr:cNvPicPr>
          <a:picLocks noChangeAspect="1"/>
        </xdr:cNvPicPr>
      </xdr:nvPicPr>
      <xdr:blipFill>
        <a:blip xmlns:r="http://schemas.openxmlformats.org/officeDocument/2006/relationships" r:embed="rId22">
          <a:lum bright="70000" contrast="-70000"/>
        </a:blip>
        <a:stretch>
          <a:fillRect/>
        </a:stretch>
      </xdr:blipFill>
      <xdr:spPr>
        <a:xfrm>
          <a:off x="11214100" y="88900"/>
          <a:ext cx="800100" cy="800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225425</xdr:colOff>
      <xdr:row>0</xdr:row>
      <xdr:rowOff>0</xdr:rowOff>
    </xdr:from>
    <xdr:to>
      <xdr:col>11</xdr:col>
      <xdr:colOff>342900</xdr:colOff>
      <xdr:row>11</xdr:row>
      <xdr:rowOff>88900</xdr:rowOff>
    </xdr:to>
    <xdr:graphicFrame macro="">
      <xdr:nvGraphicFramePr>
        <xdr:cNvPr id="4" name="Chart 3">
          <a:extLst>
            <a:ext uri="{FF2B5EF4-FFF2-40B4-BE49-F238E27FC236}">
              <a16:creationId xmlns:a16="http://schemas.microsoft.com/office/drawing/2014/main" id="{B586E25F-732C-851A-3858-A44DE418D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422275</xdr:colOff>
      <xdr:row>0</xdr:row>
      <xdr:rowOff>0</xdr:rowOff>
    </xdr:from>
    <xdr:to>
      <xdr:col>17</xdr:col>
      <xdr:colOff>63500</xdr:colOff>
      <xdr:row>11</xdr:row>
      <xdr:rowOff>25400</xdr:rowOff>
    </xdr:to>
    <xdr:graphicFrame macro="">
      <xdr:nvGraphicFramePr>
        <xdr:cNvPr id="5" name="Chart 4">
          <a:extLst>
            <a:ext uri="{FF2B5EF4-FFF2-40B4-BE49-F238E27FC236}">
              <a16:creationId xmlns:a16="http://schemas.microsoft.com/office/drawing/2014/main" id="{37B37E49-AB83-D4CD-4814-C2D9C79A7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504825</xdr:colOff>
      <xdr:row>11</xdr:row>
      <xdr:rowOff>50800</xdr:rowOff>
    </xdr:from>
    <xdr:to>
      <xdr:col>17</xdr:col>
      <xdr:colOff>114300</xdr:colOff>
      <xdr:row>22</xdr:row>
      <xdr:rowOff>101600</xdr:rowOff>
    </xdr:to>
    <xdr:graphicFrame macro="">
      <xdr:nvGraphicFramePr>
        <xdr:cNvPr id="6" name="Chart 5">
          <a:extLst>
            <a:ext uri="{FF2B5EF4-FFF2-40B4-BE49-F238E27FC236}">
              <a16:creationId xmlns:a16="http://schemas.microsoft.com/office/drawing/2014/main" id="{7A7F2D7B-BCA8-3EC1-BE00-C160673C4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444500</xdr:colOff>
      <xdr:row>27</xdr:row>
      <xdr:rowOff>120650</xdr:rowOff>
    </xdr:from>
    <xdr:to>
      <xdr:col>12</xdr:col>
      <xdr:colOff>82550</xdr:colOff>
      <xdr:row>40</xdr:row>
      <xdr:rowOff>101600</xdr:rowOff>
    </xdr:to>
    <xdr:graphicFrame macro="">
      <xdr:nvGraphicFramePr>
        <xdr:cNvPr id="8" name="Chart 7">
          <a:extLst>
            <a:ext uri="{FF2B5EF4-FFF2-40B4-BE49-F238E27FC236}">
              <a16:creationId xmlns:a16="http://schemas.microsoft.com/office/drawing/2014/main" id="{41AFB5E1-7A51-3CF9-8E68-CC7EE7036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228600</xdr:colOff>
      <xdr:row>3</xdr:row>
      <xdr:rowOff>38100</xdr:rowOff>
    </xdr:from>
    <xdr:to>
      <xdr:col>11</xdr:col>
      <xdr:colOff>228600</xdr:colOff>
      <xdr:row>25</xdr:row>
      <xdr:rowOff>19050</xdr:rowOff>
    </xdr:to>
    <mc:AlternateContent xmlns:mc="http://schemas.openxmlformats.org/markup-compatibility/2006" xmlns:a14="http://schemas.microsoft.com/office/drawing/2010/main">
      <mc:Choice Requires="a14">
        <xdr:graphicFrame macro="">
          <xdr:nvGraphicFramePr>
            <xdr:cNvPr id="9" name="Product 2">
              <a:extLst>
                <a:ext uri="{FF2B5EF4-FFF2-40B4-BE49-F238E27FC236}">
                  <a16:creationId xmlns:a16="http://schemas.microsoft.com/office/drawing/2014/main" id="{F91399ED-1165-4032-7461-E1B31244D94C}"/>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6400800" y="590550"/>
              <a:ext cx="1828800" cy="4032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323850</xdr:colOff>
      <xdr:row>27</xdr:row>
      <xdr:rowOff>165100</xdr:rowOff>
    </xdr:from>
    <xdr:to>
      <xdr:col>2</xdr:col>
      <xdr:colOff>501650</xdr:colOff>
      <xdr:row>41</xdr:row>
      <xdr:rowOff>111125</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2DD27FEA-E78F-B8D5-001A-9E59A40055B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23850" y="513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69850</xdr:colOff>
      <xdr:row>27</xdr:row>
      <xdr:rowOff>69850</xdr:rowOff>
    </xdr:from>
    <xdr:to>
      <xdr:col>5</xdr:col>
      <xdr:colOff>247650</xdr:colOff>
      <xdr:row>41</xdr:row>
      <xdr:rowOff>15875</xdr:rowOff>
    </xdr:to>
    <mc:AlternateContent xmlns:mc="http://schemas.openxmlformats.org/markup-compatibility/2006" xmlns:a14="http://schemas.microsoft.com/office/drawing/2010/main">
      <mc:Choice Requires="a14">
        <xdr:graphicFrame macro="">
          <xdr:nvGraphicFramePr>
            <xdr:cNvPr id="11" name="Region 3">
              <a:extLst>
                <a:ext uri="{FF2B5EF4-FFF2-40B4-BE49-F238E27FC236}">
                  <a16:creationId xmlns:a16="http://schemas.microsoft.com/office/drawing/2014/main" id="{65CB5ADE-6DFC-FD06-D129-C578DCC56DDD}"/>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2330450" y="5041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400050</xdr:colOff>
      <xdr:row>27</xdr:row>
      <xdr:rowOff>82550</xdr:rowOff>
    </xdr:from>
    <xdr:to>
      <xdr:col>7</xdr:col>
      <xdr:colOff>577850</xdr:colOff>
      <xdr:row>41</xdr:row>
      <xdr:rowOff>28575</xdr:rowOff>
    </xdr:to>
    <mc:AlternateContent xmlns:mc="http://schemas.openxmlformats.org/markup-compatibility/2006" xmlns:a14="http://schemas.microsoft.com/office/drawing/2010/main">
      <mc:Choice Requires="a14">
        <xdr:graphicFrame macro="">
          <xdr:nvGraphicFramePr>
            <xdr:cNvPr id="12" name="Month 2">
              <a:extLst>
                <a:ext uri="{FF2B5EF4-FFF2-40B4-BE49-F238E27FC236}">
                  <a16:creationId xmlns:a16="http://schemas.microsoft.com/office/drawing/2014/main" id="{F8338F91-C3FA-6C3F-7D04-F5AC0ACC7CD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4311650" y="5054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E L L" refreshedDate="46283.434933101853" createdVersion="8" refreshedVersion="8" minRefreshableVersion="3" recordCount="500" xr:uid="{59F12810-C51D-4DEF-ABE0-73F08A194E2B}">
  <cacheSource type="worksheet">
    <worksheetSource ref="A1:K501" sheet="Raw_Data"/>
  </cacheSource>
  <cacheFields count="11">
    <cacheField name="Order ID" numFmtId="0">
      <sharedItems/>
    </cacheField>
    <cacheField name="Order Date" numFmtId="164">
      <sharedItems containsSemiMixedTypes="0" containsNonDate="0" containsDate="1" containsString="0" minDate="2026-01-01T00:00:00" maxDate="2027-01-01T00:00:00"/>
    </cacheField>
    <cacheField name="Customer Name" numFmtId="0">
      <sharedItems/>
    </cacheField>
    <cacheField name="Product" numFmtId="0">
      <sharedItems count="12">
        <s v="Backpack"/>
        <s v="Tablet"/>
        <s v="Monitor"/>
        <s v="Desk"/>
        <s v="Headphones"/>
        <s v="Mouse"/>
        <s v="Laptop"/>
        <s v="Office Chair"/>
        <s v="Mobile"/>
        <s v="Notebook"/>
        <s v="Keyboard"/>
        <s v="Printer"/>
      </sharedItems>
    </cacheField>
    <cacheField name="Category" numFmtId="0">
      <sharedItems count="5">
        <s v="Bags"/>
        <s v="Electronics"/>
        <s v="Furniture"/>
        <s v="Accessories"/>
        <s v="Stationery"/>
      </sharedItems>
    </cacheField>
    <cacheField name="Region" numFmtId="0">
      <sharedItems count="5">
        <s v="Coimbatore"/>
        <s v="Trichy"/>
        <s v="Madurai"/>
        <s v="Chennai"/>
        <s v="Salem"/>
      </sharedItems>
    </cacheField>
    <cacheField name="Quantity" numFmtId="0">
      <sharedItems containsSemiMixedTypes="0" containsString="0" containsNumber="1" containsInteger="1" minValue="1" maxValue="6"/>
    </cacheField>
    <cacheField name="Unit Price" numFmtId="0">
      <sharedItems containsSemiMixedTypes="0" containsString="0" containsNumber="1" containsInteger="1" minValue="232" maxValue="48207"/>
    </cacheField>
    <cacheField name="Sales" numFmtId="0">
      <sharedItems containsSemiMixedTypes="0" containsString="0" containsNumber="1" containsInteger="1" minValue="233" maxValue="286236"/>
    </cacheField>
    <cacheField name="Month" numFmtId="165">
      <sharedItems count="12">
        <s v="May"/>
        <s v="Oct"/>
        <s v="Apr"/>
        <s v="Nov"/>
        <s v="Jan"/>
        <s v="Jun"/>
        <s v="Mar"/>
        <s v="Dec"/>
        <s v="Jul"/>
        <s v="Feb"/>
        <s v="Aug"/>
        <s v="Sep"/>
      </sharedItems>
    </cacheField>
    <cacheField name="Calculate Sales" numFmtId="0">
      <sharedItems containsSemiMixedTypes="0" containsString="0" containsNumber="1" containsInteger="1" minValue="233" maxValue="286236"/>
    </cacheField>
  </cacheFields>
  <extLst>
    <ext xmlns:x14="http://schemas.microsoft.com/office/spreadsheetml/2009/9/main" uri="{725AE2AE-9491-48be-B2B4-4EB974FC3084}">
      <x14:pivotCacheDefinition pivotCacheId="60164389"/>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E L L" refreshedDate="46283.436059722226" createdVersion="8" refreshedVersion="8" minRefreshableVersion="3" recordCount="501" xr:uid="{61FB3A72-1BA3-475A-BA76-AA338FB876D7}">
  <cacheSource type="worksheet">
    <worksheetSource ref="A1:K1048576" sheet="Raw_Data"/>
  </cacheSource>
  <cacheFields count="11">
    <cacheField name="Order ID" numFmtId="0">
      <sharedItems containsBlank="1"/>
    </cacheField>
    <cacheField name="Order Date" numFmtId="0">
      <sharedItems containsNonDate="0" containsDate="1" containsString="0" containsBlank="1" minDate="2026-01-01T00:00:00" maxDate="2027-01-01T00:00:00"/>
    </cacheField>
    <cacheField name="Customer Name" numFmtId="0">
      <sharedItems containsBlank="1" count="21">
        <s v="Meena R"/>
        <s v="Karthik R"/>
        <s v="Deepa S"/>
        <s v="Sneha K"/>
        <s v="Divya M"/>
        <s v="Aishwarya K"/>
        <s v="Naveen M"/>
        <s v="Keerthana S"/>
        <s v="Suresh K"/>
        <s v="Vijay S"/>
        <s v="Manoj V"/>
        <s v="Dinesh K"/>
        <s v="Priya S"/>
        <s v="Pavithra R"/>
        <s v="Gokul R"/>
        <s v="Rahul P"/>
        <s v="Arun Kumar"/>
        <s v="Swetha P"/>
        <s v="Hari V"/>
        <s v="Anitha P"/>
        <m/>
      </sharedItems>
    </cacheField>
    <cacheField name="Product" numFmtId="0">
      <sharedItems containsBlank="1" count="13">
        <s v="Backpack"/>
        <s v="Tablet"/>
        <s v="Monitor"/>
        <s v="Desk"/>
        <s v="Headphones"/>
        <s v="Mouse"/>
        <s v="Laptop"/>
        <s v="Office Chair"/>
        <s v="Mobile"/>
        <s v="Notebook"/>
        <s v="Keyboard"/>
        <s v="Printer"/>
        <m/>
      </sharedItems>
    </cacheField>
    <cacheField name="Category" numFmtId="0">
      <sharedItems containsBlank="1" count="6">
        <s v="Bags"/>
        <s v="Electronics"/>
        <s v="Furniture"/>
        <s v="Accessories"/>
        <s v="Stationery"/>
        <m/>
      </sharedItems>
    </cacheField>
    <cacheField name="Region" numFmtId="0">
      <sharedItems containsBlank="1" count="6">
        <s v="Coimbatore"/>
        <s v="Trichy"/>
        <s v="Madurai"/>
        <s v="Chennai"/>
        <s v="Salem"/>
        <m/>
      </sharedItems>
    </cacheField>
    <cacheField name="Quantity" numFmtId="0">
      <sharedItems containsString="0" containsBlank="1" containsNumber="1" containsInteger="1" minValue="1" maxValue="6"/>
    </cacheField>
    <cacheField name="Unit Price" numFmtId="0">
      <sharedItems containsString="0" containsBlank="1" containsNumber="1" containsInteger="1" minValue="232" maxValue="48207"/>
    </cacheField>
    <cacheField name="Sales" numFmtId="0">
      <sharedItems containsString="0" containsBlank="1" containsNumber="1" containsInteger="1" minValue="233" maxValue="286236"/>
    </cacheField>
    <cacheField name="Month" numFmtId="165">
      <sharedItems containsBlank="1" count="13">
        <s v="May"/>
        <s v="Oct"/>
        <s v="Apr"/>
        <s v="Nov"/>
        <s v="Jan"/>
        <s v="Jun"/>
        <s v="Mar"/>
        <s v="Dec"/>
        <s v="Jul"/>
        <s v="Feb"/>
        <s v="Aug"/>
        <s v="Sep"/>
        <m/>
      </sharedItems>
    </cacheField>
    <cacheField name="Calculate Sales" numFmtId="0">
      <sharedItems containsString="0" containsBlank="1" containsNumber="1" containsInteger="1" minValue="233" maxValue="286236"/>
    </cacheField>
  </cacheFields>
  <extLst>
    <ext xmlns:x14="http://schemas.microsoft.com/office/spreadsheetml/2009/9/main" uri="{725AE2AE-9491-48be-B2B4-4EB974FC3084}">
      <x14:pivotCacheDefinition pivotCacheId="1784329477"/>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E L L" refreshedDate="46283.468322337962" createdVersion="8" refreshedVersion="8" minRefreshableVersion="3" recordCount="500" xr:uid="{C8508A58-3DFC-43D3-8243-C5DC1735ED22}">
  <cacheSource type="worksheet">
    <worksheetSource name="Table3"/>
  </cacheSource>
  <cacheFields count="11">
    <cacheField name="Order ID" numFmtId="0">
      <sharedItems/>
    </cacheField>
    <cacheField name="Order Date" numFmtId="164">
      <sharedItems containsSemiMixedTypes="0" containsNonDate="0" containsDate="1" containsString="0" minDate="2026-01-01T00:00:00" maxDate="2027-01-01T00:00:00"/>
    </cacheField>
    <cacheField name="Customer Name" numFmtId="0">
      <sharedItems count="20">
        <s v="Meena R"/>
        <s v="Karthik R"/>
        <s v="Deepa S"/>
        <s v="Sneha K"/>
        <s v="Divya M"/>
        <s v="Aishwarya K"/>
        <s v="Naveen M"/>
        <s v="Keerthana S"/>
        <s v="Suresh K"/>
        <s v="Vijay S"/>
        <s v="Manoj V"/>
        <s v="Dinesh K"/>
        <s v="Priya S"/>
        <s v="Pavithra R"/>
        <s v="Gokul R"/>
        <s v="Rahul P"/>
        <s v="Arun Kumar"/>
        <s v="Swetha P"/>
        <s v="Hari V"/>
        <s v="Anitha P"/>
      </sharedItems>
    </cacheField>
    <cacheField name="Product" numFmtId="0">
      <sharedItems count="12">
        <s v="Backpack"/>
        <s v="Tablet"/>
        <s v="Monitor"/>
        <s v="Desk"/>
        <s v="Headphones"/>
        <s v="Mouse"/>
        <s v="Laptop"/>
        <s v="Office Chair"/>
        <s v="Mobile"/>
        <s v="Notebook"/>
        <s v="Keyboard"/>
        <s v="Printer"/>
      </sharedItems>
    </cacheField>
    <cacheField name="Category" numFmtId="0">
      <sharedItems count="5">
        <s v="Bags"/>
        <s v="Electronics"/>
        <s v="Furniture"/>
        <s v="Accessories"/>
        <s v="Stationery"/>
      </sharedItems>
    </cacheField>
    <cacheField name="Region" numFmtId="0">
      <sharedItems count="5">
        <s v="Coimbatore"/>
        <s v="Trichy"/>
        <s v="Madurai"/>
        <s v="Chennai"/>
        <s v="Salem"/>
      </sharedItems>
    </cacheField>
    <cacheField name="Quantity" numFmtId="0">
      <sharedItems containsSemiMixedTypes="0" containsString="0" containsNumber="1" containsInteger="1" minValue="1" maxValue="6"/>
    </cacheField>
    <cacheField name="Unit Price" numFmtId="0">
      <sharedItems containsSemiMixedTypes="0" containsString="0" containsNumber="1" containsInteger="1" minValue="232" maxValue="48207"/>
    </cacheField>
    <cacheField name="Sales" numFmtId="0">
      <sharedItems containsSemiMixedTypes="0" containsString="0" containsNumber="1" containsInteger="1" minValue="233" maxValue="286236" count="494">
        <n v="1663"/>
        <n v="101130"/>
        <n v="13872"/>
        <n v="7069"/>
        <n v="10144"/>
        <n v="2268"/>
        <n v="14662"/>
        <n v="268248"/>
        <n v="26844"/>
        <n v="13968"/>
        <n v="46580"/>
        <n v="5109"/>
        <n v="1536"/>
        <n v="474"/>
        <n v="14580"/>
        <n v="3080"/>
        <n v="15000"/>
        <n v="2302"/>
        <n v="1235"/>
        <n v="5008"/>
        <n v="102126"/>
        <n v="86332"/>
        <n v="8745"/>
        <n v="5064"/>
        <n v="286236"/>
        <n v="9004"/>
        <n v="4900"/>
        <n v="218670"/>
        <n v="2230"/>
        <n v="1052"/>
        <n v="7716"/>
        <n v="30080"/>
        <n v="92160"/>
        <n v="42062"/>
        <n v="17240"/>
        <n v="2662"/>
        <n v="7704"/>
        <n v="1265"/>
        <n v="2339"/>
        <n v="63492"/>
        <n v="87684"/>
        <n v="12395"/>
        <n v="25438"/>
        <n v="22536"/>
        <n v="4926"/>
        <n v="88258"/>
        <n v="4952"/>
        <n v="7161"/>
        <n v="261948"/>
        <n v="40170"/>
        <n v="102395"/>
        <n v="14176"/>
        <n v="91206"/>
        <n v="15516"/>
        <n v="110514"/>
        <n v="183488"/>
        <n v="17016"/>
        <n v="7242"/>
        <n v="42192"/>
        <n v="1926"/>
        <n v="133122"/>
        <n v="14622"/>
        <n v="38334"/>
        <n v="1105"/>
        <n v="1008"/>
        <n v="23567"/>
        <n v="136782"/>
        <n v="132075"/>
        <n v="3696"/>
        <n v="39678"/>
        <n v="14230"/>
        <n v="2510"/>
        <n v="22846"/>
        <n v="4618"/>
        <n v="1290"/>
        <n v="96930"/>
        <n v="62607"/>
        <n v="27308"/>
        <n v="8344"/>
        <n v="267240"/>
        <n v="2980"/>
        <n v="5070"/>
        <n v="7000"/>
        <n v="35542"/>
        <n v="20685"/>
        <n v="10456"/>
        <n v="49348"/>
        <n v="1738"/>
        <n v="45216"/>
        <n v="43163"/>
        <n v="50964"/>
        <n v="46032"/>
        <n v="28444"/>
        <n v="215970"/>
        <n v="72360"/>
        <n v="63025"/>
        <n v="24936"/>
        <n v="14466"/>
        <n v="4476"/>
        <n v="2550"/>
        <n v="10312"/>
        <n v="58376"/>
        <n v="9824"/>
        <n v="55256"/>
        <n v="77970"/>
        <n v="23128"/>
        <n v="4938"/>
        <n v="90490"/>
        <n v="1680"/>
        <n v="17309"/>
        <n v="2499"/>
        <n v="1194"/>
        <n v="13962"/>
        <n v="5272"/>
        <n v="73952"/>
        <n v="783"/>
        <n v="1410"/>
        <n v="7480"/>
        <n v="466"/>
        <n v="792"/>
        <n v="135708"/>
        <n v="49704"/>
        <n v="45975"/>
        <n v="108378"/>
        <n v="33808"/>
        <n v="2412"/>
        <n v="35940"/>
        <n v="1596"/>
        <n v="6195"/>
        <n v="15872"/>
        <n v="14940"/>
        <n v="43518"/>
        <n v="8810"/>
        <n v="90726"/>
        <n v="3444"/>
        <n v="1340"/>
        <n v="14964"/>
        <n v="1264"/>
        <n v="49803"/>
        <n v="45384"/>
        <n v="22261"/>
        <n v="1720"/>
        <n v="87884"/>
        <n v="96465"/>
        <n v="34580"/>
        <n v="63920"/>
        <n v="6115"/>
        <n v="3464"/>
        <n v="83880"/>
        <n v="1245"/>
        <n v="774"/>
        <n v="7302"/>
        <n v="17402"/>
        <n v="94214"/>
        <n v="11940"/>
        <n v="42460"/>
        <n v="87444"/>
        <n v="15804"/>
        <n v="5466"/>
        <n v="7680"/>
        <n v="7740"/>
        <n v="2466"/>
        <n v="968"/>
        <n v="11644"/>
        <n v="8714"/>
        <n v="90266"/>
        <n v="86646"/>
        <n v="940"/>
        <n v="484"/>
        <n v="47466"/>
        <n v="3600"/>
        <n v="64612"/>
        <n v="68436"/>
        <n v="68880"/>
        <n v="1158"/>
        <n v="7620"/>
        <n v="2421"/>
        <n v="1724"/>
        <n v="9268"/>
        <n v="11628"/>
        <n v="41360"/>
        <n v="31364"/>
        <n v="91964"/>
        <n v="1024"/>
        <n v="4968"/>
        <n v="6703"/>
        <n v="247"/>
        <n v="104532"/>
        <n v="131943"/>
        <n v="34360"/>
        <n v="116525"/>
        <n v="13400"/>
        <n v="6636"/>
        <n v="17832"/>
        <n v="7420"/>
        <n v="56224"/>
        <n v="22656"/>
        <n v="1213"/>
        <n v="1634"/>
        <n v="1916"/>
        <n v="12153"/>
        <n v="4734"/>
        <n v="4000"/>
        <n v="37419"/>
        <n v="45790"/>
        <n v="837"/>
        <n v="86148"/>
        <n v="96342"/>
        <n v="238830"/>
        <n v="13950"/>
        <n v="40800"/>
        <n v="21066"/>
        <n v="36981"/>
        <n v="43524"/>
        <n v="29968"/>
        <n v="9912"/>
        <n v="5439"/>
        <n v="42768"/>
        <n v="3682"/>
        <n v="1726"/>
        <n v="17234"/>
        <n v="6751"/>
        <n v="2250"/>
        <n v="1622"/>
        <n v="93480"/>
        <n v="50136"/>
        <n v="57325"/>
        <n v="4912"/>
        <n v="61788"/>
        <n v="67143"/>
        <n v="42576"/>
        <n v="33850"/>
        <n v="123858"/>
        <n v="63724"/>
        <n v="62204"/>
        <n v="5292"/>
        <n v="20568"/>
        <n v="8618"/>
        <n v="1774"/>
        <n v="5820"/>
        <n v="5126"/>
        <n v="23928"/>
        <n v="80695"/>
        <n v="240445"/>
        <n v="55752"/>
        <n v="95326"/>
        <n v="110304"/>
        <n v="9872"/>
        <n v="6996"/>
        <n v="85066"/>
        <n v="4924"/>
        <n v="42951"/>
        <n v="14480"/>
        <n v="49434"/>
        <n v="42872"/>
        <n v="3381"/>
        <n v="72376"/>
        <n v="5031"/>
        <n v="12695"/>
        <n v="92016"/>
        <n v="127911"/>
        <n v="92852"/>
        <n v="69945"/>
        <n v="1492"/>
        <n v="18104"/>
        <n v="2359"/>
        <n v="100662"/>
        <n v="34715"/>
        <n v="5097"/>
        <n v="5655"/>
        <n v="8242"/>
        <n v="2238"/>
        <n v="33796"/>
        <n v="39906"/>
        <n v="17858"/>
        <n v="3334"/>
        <n v="43245"/>
        <n v="62636"/>
        <n v="10512"/>
        <n v="6952"/>
        <n v="811"/>
        <n v="11082"/>
        <n v="5880"/>
        <n v="135600"/>
        <n v="2277"/>
        <n v="5400"/>
        <n v="114765"/>
        <n v="14218"/>
        <n v="1310"/>
        <n v="46269"/>
        <n v="7524"/>
        <n v="5112"/>
        <n v="50068"/>
        <n v="31522"/>
        <n v="269160"/>
        <n v="1320"/>
        <n v="10616"/>
        <n v="73490"/>
        <n v="2427"/>
        <n v="17386"/>
        <n v="55250"/>
        <n v="5040"/>
        <n v="63228"/>
        <n v="94230"/>
        <n v="60345"/>
        <n v="14142"/>
        <n v="1618"/>
        <n v="858"/>
        <n v="8351"/>
        <n v="2496"/>
        <n v="15378"/>
        <n v="17575"/>
        <n v="1020"/>
        <n v="128553"/>
        <n v="5900"/>
        <n v="256656"/>
        <n v="1257"/>
        <n v="48411"/>
        <n v="26730"/>
        <n v="14102"/>
        <n v="4644"/>
        <n v="107028"/>
        <n v="26992"/>
        <n v="4195"/>
        <n v="92565"/>
        <n v="45960"/>
        <n v="7118"/>
        <n v="3336"/>
        <n v="3104"/>
        <n v="256440"/>
        <n v="68904"/>
        <n v="21651"/>
        <n v="17862"/>
        <n v="5580"/>
        <n v="2482"/>
        <n v="15970"/>
        <n v="11733"/>
        <n v="17304"/>
        <n v="93150"/>
        <n v="6580"/>
        <n v="72198"/>
        <n v="35612"/>
        <n v="51102"/>
        <n v="26910"/>
        <n v="2448"/>
        <n v="48294"/>
        <n v="9320"/>
        <n v="41985"/>
        <n v="3754"/>
        <n v="72528"/>
        <n v="14772"/>
        <n v="71028"/>
        <n v="13580"/>
        <n v="54129"/>
        <n v="11554"/>
        <n v="144621"/>
        <n v="57747"/>
        <n v="59680"/>
        <n v="88076"/>
        <n v="742"/>
        <n v="5530"/>
        <n v="7044"/>
        <n v="15169"/>
        <n v="1178"/>
        <n v="42744"/>
        <n v="34450"/>
        <n v="105114"/>
        <n v="95660"/>
        <n v="1572"/>
        <n v="4210"/>
        <n v="5044"/>
        <n v="72690"/>
        <n v="38691"/>
        <n v="253"/>
        <n v="31544"/>
        <n v="238"/>
        <n v="74196"/>
        <n v="74622"/>
        <n v="12150"/>
        <n v="48288"/>
        <n v="26217"/>
        <n v="25756"/>
        <n v="7824"/>
        <n v="3124"/>
        <n v="42288"/>
        <n v="1159"/>
        <n v="5613"/>
        <n v="6190"/>
        <n v="1200"/>
        <n v="3342"/>
        <n v="137718"/>
        <n v="96264"/>
        <n v="3477"/>
        <n v="12975"/>
        <n v="19432"/>
        <n v="795"/>
        <n v="9035"/>
        <n v="2518"/>
        <n v="5589"/>
        <n v="43728"/>
        <n v="72935"/>
        <n v="69968"/>
        <n v="29744"/>
        <n v="42492"/>
        <n v="253506"/>
        <n v="9610"/>
        <n v="5286"/>
        <n v="23828"/>
        <n v="1335"/>
        <n v="9535"/>
        <n v="49872"/>
        <n v="40475"/>
        <n v="3965"/>
        <n v="12766"/>
        <n v="88780"/>
        <n v="75534"/>
        <n v="257814"/>
        <n v="4464"/>
        <n v="133032"/>
        <n v="63548"/>
        <n v="11448"/>
        <n v="88460"/>
        <n v="134202"/>
        <n v="28788"/>
        <n v="15636"/>
        <n v="85768"/>
        <n v="61650"/>
        <n v="57448"/>
        <n v="24414"/>
        <n v="44142"/>
        <n v="8600"/>
        <n v="45080"/>
        <n v="12907"/>
        <n v="89620"/>
        <n v="12120"/>
        <n v="69036"/>
        <n v="33654"/>
        <n v="91512"/>
        <n v="43152"/>
        <n v="2574"/>
        <n v="260"/>
        <n v="492"/>
        <n v="4776"/>
        <n v="3606"/>
        <n v="1040"/>
        <n v="2968"/>
        <n v="6415"/>
        <n v="35020"/>
        <n v="61485"/>
        <n v="73632"/>
        <n v="711"/>
        <n v="54732"/>
        <n v="1876"/>
        <n v="124632"/>
        <n v="815"/>
        <n v="6644"/>
        <n v="45212"/>
        <n v="236275"/>
        <n v="22086"/>
        <n v="26787"/>
        <n v="3180"/>
        <n v="1844"/>
        <n v="58820"/>
        <n v="117375"/>
        <n v="33387"/>
        <n v="38862"/>
        <n v="14566"/>
        <n v="2424"/>
        <n v="3332"/>
        <n v="696"/>
        <n v="4170"/>
        <n v="260208"/>
        <n v="4280"/>
        <n v="6724"/>
        <n v="233"/>
        <n v="972"/>
        <n v="4692"/>
        <n v="43514"/>
        <n v="13863"/>
        <n v="36595"/>
        <n v="62680"/>
        <n v="17504"/>
        <n v="3597"/>
        <n v="4648"/>
        <n v="15300"/>
        <n v="11300"/>
        <n v="29364"/>
        <n v="96828"/>
        <n v="39990"/>
        <n v="2490"/>
        <n v="7350"/>
        <n v="14206"/>
        <n v="268344"/>
        <n v="6702"/>
      </sharedItems>
    </cacheField>
    <cacheField name="Month" numFmtId="165">
      <sharedItems count="12">
        <s v="May"/>
        <s v="Oct"/>
        <s v="Apr"/>
        <s v="Nov"/>
        <s v="Jan"/>
        <s v="Jun"/>
        <s v="Mar"/>
        <s v="Dec"/>
        <s v="Jul"/>
        <s v="Feb"/>
        <s v="Aug"/>
        <s v="Sep"/>
      </sharedItems>
    </cacheField>
    <cacheField name="Calculate Sales" numFmtId="0">
      <sharedItems containsSemiMixedTypes="0" containsString="0" containsNumber="1" containsInteger="1" minValue="233" maxValue="286236"/>
    </cacheField>
  </cacheFields>
  <extLst>
    <ext xmlns:x14="http://schemas.microsoft.com/office/spreadsheetml/2009/9/main" uri="{725AE2AE-9491-48be-B2B4-4EB974FC3084}">
      <x14:pivotCacheDefinition pivotCacheId="206318489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d v="2026-05-21T00:00:00"/>
    <s v="Meena R"/>
    <x v="0"/>
    <x v="0"/>
    <x v="0"/>
    <n v="1"/>
    <n v="1663"/>
    <n v="1663"/>
    <x v="0"/>
    <n v="1663"/>
  </r>
  <r>
    <s v="ORD0002"/>
    <d v="2026-10-07T00:00:00"/>
    <s v="Karthik R"/>
    <x v="1"/>
    <x v="1"/>
    <x v="1"/>
    <n v="6"/>
    <n v="16855"/>
    <n v="101130"/>
    <x v="1"/>
    <n v="101130"/>
  </r>
  <r>
    <s v="ORD0003"/>
    <d v="2026-04-22T00:00:00"/>
    <s v="Meena R"/>
    <x v="2"/>
    <x v="1"/>
    <x v="1"/>
    <n v="1"/>
    <n v="13872"/>
    <n v="13872"/>
    <x v="2"/>
    <n v="13872"/>
  </r>
  <r>
    <s v="ORD0004"/>
    <d v="2026-11-29T00:00:00"/>
    <s v="Deepa S"/>
    <x v="3"/>
    <x v="2"/>
    <x v="2"/>
    <n v="1"/>
    <n v="7069"/>
    <n v="7069"/>
    <x v="3"/>
    <n v="7069"/>
  </r>
  <r>
    <s v="ORD0005"/>
    <d v="2026-01-04T00:00:00"/>
    <s v="Sneha K"/>
    <x v="4"/>
    <x v="3"/>
    <x v="2"/>
    <n v="4"/>
    <n v="2536"/>
    <n v="10144"/>
    <x v="4"/>
    <n v="10144"/>
  </r>
  <r>
    <s v="ORD0006"/>
    <d v="2026-06-22T00:00:00"/>
    <s v="Divya M"/>
    <x v="5"/>
    <x v="3"/>
    <x v="3"/>
    <n v="3"/>
    <n v="756"/>
    <n v="2268"/>
    <x v="5"/>
    <n v="2268"/>
  </r>
  <r>
    <s v="ORD0007"/>
    <d v="2026-06-26T00:00:00"/>
    <s v="Aishwarya K"/>
    <x v="2"/>
    <x v="1"/>
    <x v="4"/>
    <n v="1"/>
    <n v="14662"/>
    <n v="14662"/>
    <x v="5"/>
    <n v="14662"/>
  </r>
  <r>
    <s v="ORD0008"/>
    <d v="2026-03-05T00:00:00"/>
    <s v="Naveen M"/>
    <x v="6"/>
    <x v="1"/>
    <x v="3"/>
    <n v="6"/>
    <n v="44708"/>
    <n v="268248"/>
    <x v="6"/>
    <n v="268248"/>
  </r>
  <r>
    <s v="ORD0009"/>
    <d v="2026-11-13T00:00:00"/>
    <s v="Keerthana S"/>
    <x v="7"/>
    <x v="2"/>
    <x v="1"/>
    <n v="3"/>
    <n v="8948"/>
    <n v="26844"/>
    <x v="3"/>
    <n v="26844"/>
  </r>
  <r>
    <s v="ORD0010"/>
    <d v="2026-12-05T00:00:00"/>
    <s v="Meena R"/>
    <x v="4"/>
    <x v="3"/>
    <x v="4"/>
    <n v="6"/>
    <n v="2328"/>
    <n v="13968"/>
    <x v="7"/>
    <n v="13968"/>
  </r>
  <r>
    <s v="ORD0011"/>
    <d v="2026-07-14T00:00:00"/>
    <s v="Suresh K"/>
    <x v="8"/>
    <x v="1"/>
    <x v="2"/>
    <n v="2"/>
    <n v="23290"/>
    <n v="46580"/>
    <x v="8"/>
    <n v="46580"/>
  </r>
  <r>
    <s v="ORD0012"/>
    <d v="2026-07-01T00:00:00"/>
    <s v="Vijay S"/>
    <x v="0"/>
    <x v="0"/>
    <x v="4"/>
    <n v="3"/>
    <n v="1703"/>
    <n v="5109"/>
    <x v="8"/>
    <n v="5109"/>
  </r>
  <r>
    <s v="ORD0013"/>
    <d v="2026-11-08T00:00:00"/>
    <s v="Sneha K"/>
    <x v="9"/>
    <x v="4"/>
    <x v="1"/>
    <n v="6"/>
    <n v="256"/>
    <n v="1536"/>
    <x v="3"/>
    <n v="1536"/>
  </r>
  <r>
    <s v="ORD0014"/>
    <d v="2026-07-14T00:00:00"/>
    <s v="Suresh K"/>
    <x v="9"/>
    <x v="4"/>
    <x v="1"/>
    <n v="2"/>
    <n v="237"/>
    <n v="474"/>
    <x v="8"/>
    <n v="474"/>
  </r>
  <r>
    <s v="ORD0015"/>
    <d v="2026-01-29T00:00:00"/>
    <s v="Meena R"/>
    <x v="4"/>
    <x v="3"/>
    <x v="3"/>
    <n v="6"/>
    <n v="2430"/>
    <n v="14580"/>
    <x v="4"/>
    <n v="14580"/>
  </r>
  <r>
    <s v="ORD0016"/>
    <d v="2026-04-19T00:00:00"/>
    <s v="Manoj V"/>
    <x v="5"/>
    <x v="3"/>
    <x v="4"/>
    <n v="4"/>
    <n v="770"/>
    <n v="3080"/>
    <x v="2"/>
    <n v="3080"/>
  </r>
  <r>
    <s v="ORD0017"/>
    <d v="2026-11-26T00:00:00"/>
    <s v="Dinesh K"/>
    <x v="4"/>
    <x v="3"/>
    <x v="0"/>
    <n v="6"/>
    <n v="2500"/>
    <n v="15000"/>
    <x v="3"/>
    <n v="15000"/>
  </r>
  <r>
    <s v="ORD0018"/>
    <d v="2026-10-15T00:00:00"/>
    <s v="Deepa S"/>
    <x v="10"/>
    <x v="3"/>
    <x v="4"/>
    <n v="2"/>
    <n v="1151"/>
    <n v="2302"/>
    <x v="1"/>
    <n v="2302"/>
  </r>
  <r>
    <s v="ORD0019"/>
    <d v="2026-10-26T00:00:00"/>
    <s v="Naveen M"/>
    <x v="9"/>
    <x v="4"/>
    <x v="4"/>
    <n v="5"/>
    <n v="247"/>
    <n v="1235"/>
    <x v="1"/>
    <n v="1235"/>
  </r>
  <r>
    <s v="ORD0020"/>
    <d v="2026-02-16T00:00:00"/>
    <s v="Priya S"/>
    <x v="4"/>
    <x v="3"/>
    <x v="3"/>
    <n v="2"/>
    <n v="2504"/>
    <n v="5008"/>
    <x v="9"/>
    <n v="5008"/>
  </r>
  <r>
    <s v="ORD0021"/>
    <d v="2026-12-15T00:00:00"/>
    <s v="Pavithra R"/>
    <x v="1"/>
    <x v="1"/>
    <x v="1"/>
    <n v="6"/>
    <n v="17021"/>
    <n v="102126"/>
    <x v="7"/>
    <n v="102126"/>
  </r>
  <r>
    <s v="ORD0022"/>
    <d v="2026-08-28T00:00:00"/>
    <s v="Gokul R"/>
    <x v="8"/>
    <x v="1"/>
    <x v="4"/>
    <n v="4"/>
    <n v="21583"/>
    <n v="86332"/>
    <x v="10"/>
    <n v="86332"/>
  </r>
  <r>
    <s v="ORD0023"/>
    <d v="2026-02-28T00:00:00"/>
    <s v="Deepa S"/>
    <x v="7"/>
    <x v="2"/>
    <x v="4"/>
    <n v="1"/>
    <n v="8745"/>
    <n v="8745"/>
    <x v="9"/>
    <n v="8745"/>
  </r>
  <r>
    <s v="ORD0024"/>
    <d v="2026-08-11T00:00:00"/>
    <s v="Sneha K"/>
    <x v="0"/>
    <x v="0"/>
    <x v="2"/>
    <n v="3"/>
    <n v="1688"/>
    <n v="5064"/>
    <x v="10"/>
    <n v="5064"/>
  </r>
  <r>
    <s v="ORD0025"/>
    <d v="2026-05-15T00:00:00"/>
    <s v="Gokul R"/>
    <x v="6"/>
    <x v="1"/>
    <x v="0"/>
    <n v="6"/>
    <n v="47706"/>
    <n v="286236"/>
    <x v="0"/>
    <n v="286236"/>
  </r>
  <r>
    <s v="ORD0026"/>
    <d v="2026-06-02T00:00:00"/>
    <s v="Gokul R"/>
    <x v="7"/>
    <x v="2"/>
    <x v="1"/>
    <n v="1"/>
    <n v="9004"/>
    <n v="9004"/>
    <x v="5"/>
    <n v="9004"/>
  </r>
  <r>
    <s v="ORD0027"/>
    <d v="2026-03-24T00:00:00"/>
    <s v="Deepa S"/>
    <x v="4"/>
    <x v="3"/>
    <x v="1"/>
    <n v="2"/>
    <n v="2450"/>
    <n v="4900"/>
    <x v="6"/>
    <n v="4900"/>
  </r>
  <r>
    <s v="ORD0028"/>
    <d v="2026-01-10T00:00:00"/>
    <s v="Divya M"/>
    <x v="6"/>
    <x v="1"/>
    <x v="4"/>
    <n v="5"/>
    <n v="43734"/>
    <n v="218670"/>
    <x v="4"/>
    <n v="218670"/>
  </r>
  <r>
    <s v="ORD0029"/>
    <d v="2026-10-18T00:00:00"/>
    <s v="Karthik R"/>
    <x v="10"/>
    <x v="3"/>
    <x v="3"/>
    <n v="2"/>
    <n v="1115"/>
    <n v="2230"/>
    <x v="1"/>
    <n v="2230"/>
  </r>
  <r>
    <s v="ORD0030"/>
    <d v="2026-09-30T00:00:00"/>
    <s v="Rahul P"/>
    <x v="9"/>
    <x v="4"/>
    <x v="0"/>
    <n v="4"/>
    <n v="263"/>
    <n v="1052"/>
    <x v="11"/>
    <n v="1052"/>
  </r>
  <r>
    <s v="ORD0031"/>
    <d v="2026-03-26T00:00:00"/>
    <s v="Suresh K"/>
    <x v="0"/>
    <x v="0"/>
    <x v="1"/>
    <n v="4"/>
    <n v="1929"/>
    <n v="7716"/>
    <x v="6"/>
    <n v="7716"/>
  </r>
  <r>
    <s v="ORD0032"/>
    <d v="2026-10-04T00:00:00"/>
    <s v="Vijay S"/>
    <x v="3"/>
    <x v="2"/>
    <x v="4"/>
    <n v="4"/>
    <n v="7520"/>
    <n v="30080"/>
    <x v="1"/>
    <n v="30080"/>
  </r>
  <r>
    <s v="ORD0033"/>
    <d v="2026-08-13T00:00:00"/>
    <s v="Gokul R"/>
    <x v="2"/>
    <x v="1"/>
    <x v="2"/>
    <n v="6"/>
    <n v="15360"/>
    <n v="92160"/>
    <x v="10"/>
    <n v="92160"/>
  </r>
  <r>
    <s v="ORD0034"/>
    <d v="2026-06-23T00:00:00"/>
    <s v="Arun Kumar"/>
    <x v="8"/>
    <x v="1"/>
    <x v="1"/>
    <n v="2"/>
    <n v="21031"/>
    <n v="42062"/>
    <x v="5"/>
    <n v="42062"/>
  </r>
  <r>
    <s v="ORD0035"/>
    <d v="2026-01-04T00:00:00"/>
    <s v="Karthik R"/>
    <x v="7"/>
    <x v="2"/>
    <x v="3"/>
    <n v="2"/>
    <n v="8620"/>
    <n v="17240"/>
    <x v="4"/>
    <n v="17240"/>
  </r>
  <r>
    <s v="ORD0036"/>
    <d v="2026-06-19T00:00:00"/>
    <s v="Karthik R"/>
    <x v="4"/>
    <x v="3"/>
    <x v="1"/>
    <n v="1"/>
    <n v="2662"/>
    <n v="2662"/>
    <x v="5"/>
    <n v="2662"/>
  </r>
  <r>
    <s v="ORD0037"/>
    <d v="2026-04-20T00:00:00"/>
    <s v="Deepa S"/>
    <x v="4"/>
    <x v="3"/>
    <x v="0"/>
    <n v="3"/>
    <n v="2568"/>
    <n v="7704"/>
    <x v="2"/>
    <n v="7704"/>
  </r>
  <r>
    <s v="ORD0038"/>
    <d v="2026-05-05T00:00:00"/>
    <s v="Swetha P"/>
    <x v="9"/>
    <x v="4"/>
    <x v="2"/>
    <n v="5"/>
    <n v="253"/>
    <n v="1265"/>
    <x v="0"/>
    <n v="1265"/>
  </r>
  <r>
    <s v="ORD0039"/>
    <d v="2026-08-09T00:00:00"/>
    <s v="Keerthana S"/>
    <x v="4"/>
    <x v="3"/>
    <x v="2"/>
    <n v="1"/>
    <n v="2339"/>
    <n v="2339"/>
    <x v="10"/>
    <n v="2339"/>
  </r>
  <r>
    <s v="ORD0040"/>
    <d v="2026-01-28T00:00:00"/>
    <s v="Divya M"/>
    <x v="2"/>
    <x v="1"/>
    <x v="3"/>
    <n v="4"/>
    <n v="15873"/>
    <n v="63492"/>
    <x v="4"/>
    <n v="63492"/>
  </r>
  <r>
    <s v="ORD0041"/>
    <d v="2026-02-25T00:00:00"/>
    <s v="Meena R"/>
    <x v="2"/>
    <x v="1"/>
    <x v="0"/>
    <n v="6"/>
    <n v="14614"/>
    <n v="87684"/>
    <x v="9"/>
    <n v="87684"/>
  </r>
  <r>
    <s v="ORD0042"/>
    <d v="2026-08-05T00:00:00"/>
    <s v="Sneha K"/>
    <x v="4"/>
    <x v="3"/>
    <x v="4"/>
    <n v="5"/>
    <n v="2479"/>
    <n v="12395"/>
    <x v="10"/>
    <n v="12395"/>
  </r>
  <r>
    <s v="ORD0043"/>
    <d v="2026-02-08T00:00:00"/>
    <s v="Dinesh K"/>
    <x v="11"/>
    <x v="1"/>
    <x v="1"/>
    <n v="2"/>
    <n v="12719"/>
    <n v="25438"/>
    <x v="9"/>
    <n v="25438"/>
  </r>
  <r>
    <s v="ORD0044"/>
    <d v="2026-10-04T00:00:00"/>
    <s v="Arun Kumar"/>
    <x v="8"/>
    <x v="1"/>
    <x v="3"/>
    <n v="1"/>
    <n v="22536"/>
    <n v="22536"/>
    <x v="1"/>
    <n v="22536"/>
  </r>
  <r>
    <s v="ORD0045"/>
    <d v="2026-09-04T00:00:00"/>
    <s v="Vijay S"/>
    <x v="4"/>
    <x v="3"/>
    <x v="2"/>
    <n v="2"/>
    <n v="2463"/>
    <n v="4926"/>
    <x v="11"/>
    <n v="4926"/>
  </r>
  <r>
    <s v="ORD0046"/>
    <d v="2026-07-19T00:00:00"/>
    <s v="Suresh K"/>
    <x v="6"/>
    <x v="1"/>
    <x v="2"/>
    <n v="2"/>
    <n v="44129"/>
    <n v="88258"/>
    <x v="8"/>
    <n v="88258"/>
  </r>
  <r>
    <s v="ORD0047"/>
    <d v="2026-10-12T00:00:00"/>
    <s v="Swetha P"/>
    <x v="10"/>
    <x v="3"/>
    <x v="0"/>
    <n v="4"/>
    <n v="1238"/>
    <n v="4952"/>
    <x v="1"/>
    <n v="4952"/>
  </r>
  <r>
    <s v="ORD0048"/>
    <d v="2026-01-30T00:00:00"/>
    <s v="Manoj V"/>
    <x v="4"/>
    <x v="3"/>
    <x v="1"/>
    <n v="3"/>
    <n v="2387"/>
    <n v="7161"/>
    <x v="4"/>
    <n v="7161"/>
  </r>
  <r>
    <s v="ORD0049"/>
    <d v="2026-01-26T00:00:00"/>
    <s v="Manoj V"/>
    <x v="6"/>
    <x v="1"/>
    <x v="2"/>
    <n v="6"/>
    <n v="43658"/>
    <n v="261948"/>
    <x v="4"/>
    <n v="261948"/>
  </r>
  <r>
    <s v="ORD0050"/>
    <d v="2026-09-18T00:00:00"/>
    <s v="Karthik R"/>
    <x v="7"/>
    <x v="2"/>
    <x v="0"/>
    <n v="5"/>
    <n v="8034"/>
    <n v="40170"/>
    <x v="11"/>
    <n v="40170"/>
  </r>
  <r>
    <s v="ORD0051"/>
    <d v="2026-05-01T00:00:00"/>
    <s v="Naveen M"/>
    <x v="8"/>
    <x v="1"/>
    <x v="3"/>
    <n v="5"/>
    <n v="20479"/>
    <n v="102395"/>
    <x v="0"/>
    <n v="102395"/>
  </r>
  <r>
    <s v="ORD0052"/>
    <d v="2026-01-21T00:00:00"/>
    <s v="Aishwarya K"/>
    <x v="3"/>
    <x v="2"/>
    <x v="3"/>
    <n v="2"/>
    <n v="7088"/>
    <n v="14176"/>
    <x v="4"/>
    <n v="14176"/>
  </r>
  <r>
    <s v="ORD0053"/>
    <d v="2026-09-25T00:00:00"/>
    <s v="Hari V"/>
    <x v="2"/>
    <x v="1"/>
    <x v="4"/>
    <n v="6"/>
    <n v="15201"/>
    <n v="91206"/>
    <x v="11"/>
    <n v="91206"/>
  </r>
  <r>
    <s v="ORD0054"/>
    <d v="2026-05-03T00:00:00"/>
    <s v="Suresh K"/>
    <x v="4"/>
    <x v="3"/>
    <x v="2"/>
    <n v="6"/>
    <n v="2586"/>
    <n v="15516"/>
    <x v="0"/>
    <n v="15516"/>
  </r>
  <r>
    <s v="ORD0055"/>
    <d v="2026-08-23T00:00:00"/>
    <s v="Hari V"/>
    <x v="1"/>
    <x v="1"/>
    <x v="3"/>
    <n v="6"/>
    <n v="18419"/>
    <n v="110514"/>
    <x v="10"/>
    <n v="110514"/>
  </r>
  <r>
    <s v="ORD0056"/>
    <d v="2026-10-16T00:00:00"/>
    <s v="Divya M"/>
    <x v="6"/>
    <x v="1"/>
    <x v="3"/>
    <n v="4"/>
    <n v="45872"/>
    <n v="183488"/>
    <x v="1"/>
    <n v="183488"/>
  </r>
  <r>
    <s v="ORD0057"/>
    <d v="2026-03-09T00:00:00"/>
    <s v="Keerthana S"/>
    <x v="7"/>
    <x v="2"/>
    <x v="3"/>
    <n v="2"/>
    <n v="8508"/>
    <n v="17016"/>
    <x v="6"/>
    <n v="17016"/>
  </r>
  <r>
    <s v="ORD0058"/>
    <d v="2026-08-13T00:00:00"/>
    <s v="Deepa S"/>
    <x v="4"/>
    <x v="3"/>
    <x v="4"/>
    <n v="3"/>
    <n v="2414"/>
    <n v="7242"/>
    <x v="10"/>
    <n v="7242"/>
  </r>
  <r>
    <s v="ORD0059"/>
    <d v="2026-12-08T00:00:00"/>
    <s v="Deepa S"/>
    <x v="3"/>
    <x v="2"/>
    <x v="4"/>
    <n v="6"/>
    <n v="7032"/>
    <n v="42192"/>
    <x v="7"/>
    <n v="42192"/>
  </r>
  <r>
    <s v="ORD0060"/>
    <d v="2026-03-10T00:00:00"/>
    <s v="Suresh K"/>
    <x v="0"/>
    <x v="0"/>
    <x v="3"/>
    <n v="1"/>
    <n v="1926"/>
    <n v="1926"/>
    <x v="6"/>
    <n v="1926"/>
  </r>
  <r>
    <s v="ORD0061"/>
    <d v="2026-05-20T00:00:00"/>
    <s v="Anitha P"/>
    <x v="8"/>
    <x v="1"/>
    <x v="1"/>
    <n v="6"/>
    <n v="22187"/>
    <n v="133122"/>
    <x v="0"/>
    <n v="133122"/>
  </r>
  <r>
    <s v="ORD0062"/>
    <d v="2026-12-18T00:00:00"/>
    <s v="Suresh K"/>
    <x v="4"/>
    <x v="3"/>
    <x v="1"/>
    <n v="6"/>
    <n v="2437"/>
    <n v="14622"/>
    <x v="7"/>
    <n v="14622"/>
  </r>
  <r>
    <s v="ORD0063"/>
    <d v="2026-01-27T00:00:00"/>
    <s v="Karthik R"/>
    <x v="11"/>
    <x v="1"/>
    <x v="2"/>
    <n v="3"/>
    <n v="12778"/>
    <n v="38334"/>
    <x v="4"/>
    <n v="38334"/>
  </r>
  <r>
    <s v="ORD0064"/>
    <d v="2026-03-08T00:00:00"/>
    <s v="Suresh K"/>
    <x v="10"/>
    <x v="3"/>
    <x v="0"/>
    <n v="1"/>
    <n v="1105"/>
    <n v="1105"/>
    <x v="6"/>
    <n v="1105"/>
  </r>
  <r>
    <s v="ORD0065"/>
    <d v="2026-08-07T00:00:00"/>
    <s v="Deepa S"/>
    <x v="9"/>
    <x v="4"/>
    <x v="3"/>
    <n v="4"/>
    <n v="252"/>
    <n v="1008"/>
    <x v="10"/>
    <n v="1008"/>
  </r>
  <r>
    <s v="ORD0066"/>
    <d v="2026-12-20T00:00:00"/>
    <s v="Rahul P"/>
    <x v="8"/>
    <x v="1"/>
    <x v="1"/>
    <n v="1"/>
    <n v="23567"/>
    <n v="23567"/>
    <x v="7"/>
    <n v="23567"/>
  </r>
  <r>
    <s v="ORD0067"/>
    <d v="2026-03-17T00:00:00"/>
    <s v="Pavithra R"/>
    <x v="6"/>
    <x v="1"/>
    <x v="0"/>
    <n v="3"/>
    <n v="45594"/>
    <n v="136782"/>
    <x v="6"/>
    <n v="136782"/>
  </r>
  <r>
    <s v="ORD0068"/>
    <d v="2026-01-21T00:00:00"/>
    <s v="Keerthana S"/>
    <x v="6"/>
    <x v="1"/>
    <x v="0"/>
    <n v="3"/>
    <n v="44025"/>
    <n v="132075"/>
    <x v="4"/>
    <n v="132075"/>
  </r>
  <r>
    <s v="ORD0069"/>
    <d v="2026-07-01T00:00:00"/>
    <s v="Deepa S"/>
    <x v="0"/>
    <x v="0"/>
    <x v="2"/>
    <n v="2"/>
    <n v="1848"/>
    <n v="3696"/>
    <x v="8"/>
    <n v="3696"/>
  </r>
  <r>
    <s v="ORD0070"/>
    <d v="2026-05-02T00:00:00"/>
    <s v="Sneha K"/>
    <x v="3"/>
    <x v="2"/>
    <x v="0"/>
    <n v="6"/>
    <n v="6613"/>
    <n v="39678"/>
    <x v="0"/>
    <n v="39678"/>
  </r>
  <r>
    <s v="ORD0071"/>
    <d v="2026-06-20T00:00:00"/>
    <s v="Pavithra R"/>
    <x v="2"/>
    <x v="1"/>
    <x v="0"/>
    <n v="1"/>
    <n v="14230"/>
    <n v="14230"/>
    <x v="5"/>
    <n v="14230"/>
  </r>
  <r>
    <s v="ORD0072"/>
    <d v="2026-02-25T00:00:00"/>
    <s v="Naveen M"/>
    <x v="10"/>
    <x v="3"/>
    <x v="3"/>
    <n v="2"/>
    <n v="1255"/>
    <n v="2510"/>
    <x v="9"/>
    <n v="2510"/>
  </r>
  <r>
    <s v="ORD0073"/>
    <d v="2026-08-24T00:00:00"/>
    <s v="Keerthana S"/>
    <x v="11"/>
    <x v="1"/>
    <x v="4"/>
    <n v="2"/>
    <n v="11423"/>
    <n v="22846"/>
    <x v="10"/>
    <n v="22846"/>
  </r>
  <r>
    <s v="ORD0074"/>
    <d v="2026-04-09T00:00:00"/>
    <s v="Naveen M"/>
    <x v="4"/>
    <x v="3"/>
    <x v="4"/>
    <n v="2"/>
    <n v="2309"/>
    <n v="4618"/>
    <x v="2"/>
    <n v="4618"/>
  </r>
  <r>
    <s v="ORD0075"/>
    <d v="2026-05-23T00:00:00"/>
    <s v="Keerthana S"/>
    <x v="10"/>
    <x v="3"/>
    <x v="1"/>
    <n v="1"/>
    <n v="1290"/>
    <n v="1290"/>
    <x v="0"/>
    <n v="1290"/>
  </r>
  <r>
    <s v="ORD0076"/>
    <d v="2026-10-02T00:00:00"/>
    <s v="Hari V"/>
    <x v="2"/>
    <x v="1"/>
    <x v="3"/>
    <n v="6"/>
    <n v="16155"/>
    <n v="96930"/>
    <x v="1"/>
    <n v="96930"/>
  </r>
  <r>
    <s v="ORD0077"/>
    <d v="2026-05-16T00:00:00"/>
    <s v="Priya S"/>
    <x v="8"/>
    <x v="1"/>
    <x v="3"/>
    <n v="3"/>
    <n v="20869"/>
    <n v="62607"/>
    <x v="0"/>
    <n v="62607"/>
  </r>
  <r>
    <s v="ORD0078"/>
    <d v="2026-06-10T00:00:00"/>
    <s v="Pavithra R"/>
    <x v="3"/>
    <x v="2"/>
    <x v="1"/>
    <n v="4"/>
    <n v="6827"/>
    <n v="27308"/>
    <x v="5"/>
    <n v="27308"/>
  </r>
  <r>
    <s v="ORD0079"/>
    <d v="2026-10-23T00:00:00"/>
    <s v="Vijay S"/>
    <x v="7"/>
    <x v="2"/>
    <x v="4"/>
    <n v="1"/>
    <n v="8344"/>
    <n v="8344"/>
    <x v="1"/>
    <n v="8344"/>
  </r>
  <r>
    <s v="ORD0080"/>
    <d v="2026-09-24T00:00:00"/>
    <s v="Deepa S"/>
    <x v="6"/>
    <x v="1"/>
    <x v="0"/>
    <n v="6"/>
    <n v="44540"/>
    <n v="267240"/>
    <x v="11"/>
    <n v="267240"/>
  </r>
  <r>
    <s v="ORD0081"/>
    <d v="2026-12-07T00:00:00"/>
    <s v="Hari V"/>
    <x v="5"/>
    <x v="3"/>
    <x v="1"/>
    <n v="4"/>
    <n v="745"/>
    <n v="2980"/>
    <x v="7"/>
    <n v="2980"/>
  </r>
  <r>
    <s v="ORD0082"/>
    <d v="2026-06-03T00:00:00"/>
    <s v="Gokul R"/>
    <x v="5"/>
    <x v="3"/>
    <x v="4"/>
    <n v="6"/>
    <n v="845"/>
    <n v="5070"/>
    <x v="5"/>
    <n v="5070"/>
  </r>
  <r>
    <s v="ORD0083"/>
    <d v="2026-12-23T00:00:00"/>
    <s v="Anitha P"/>
    <x v="0"/>
    <x v="0"/>
    <x v="1"/>
    <n v="4"/>
    <n v="1750"/>
    <n v="7000"/>
    <x v="7"/>
    <n v="7000"/>
  </r>
  <r>
    <s v="ORD0084"/>
    <d v="2026-07-14T00:00:00"/>
    <s v="Sneha K"/>
    <x v="1"/>
    <x v="1"/>
    <x v="1"/>
    <n v="2"/>
    <n v="17771"/>
    <n v="35542"/>
    <x v="8"/>
    <n v="35542"/>
  </r>
  <r>
    <s v="ORD0085"/>
    <d v="2026-01-01T00:00:00"/>
    <s v="Anitha P"/>
    <x v="3"/>
    <x v="2"/>
    <x v="4"/>
    <n v="3"/>
    <n v="6895"/>
    <n v="20685"/>
    <x v="4"/>
    <n v="20685"/>
  </r>
  <r>
    <s v="ORD0086"/>
    <d v="2026-11-07T00:00:00"/>
    <s v="Hari V"/>
    <x v="4"/>
    <x v="3"/>
    <x v="2"/>
    <n v="4"/>
    <n v="2614"/>
    <n v="10456"/>
    <x v="3"/>
    <n v="10456"/>
  </r>
  <r>
    <s v="ORD0087"/>
    <d v="2026-09-19T00:00:00"/>
    <s v="Swetha P"/>
    <x v="11"/>
    <x v="1"/>
    <x v="0"/>
    <n v="4"/>
    <n v="12337"/>
    <n v="49348"/>
    <x v="11"/>
    <n v="49348"/>
  </r>
  <r>
    <s v="ORD0088"/>
    <d v="2026-12-06T00:00:00"/>
    <s v="Aishwarya K"/>
    <x v="0"/>
    <x v="0"/>
    <x v="4"/>
    <n v="1"/>
    <n v="1738"/>
    <n v="1738"/>
    <x v="7"/>
    <n v="1738"/>
  </r>
  <r>
    <s v="ORD0089"/>
    <d v="2026-04-26T00:00:00"/>
    <s v="Vijay S"/>
    <x v="8"/>
    <x v="1"/>
    <x v="0"/>
    <n v="2"/>
    <n v="22608"/>
    <n v="45216"/>
    <x v="2"/>
    <n v="45216"/>
  </r>
  <r>
    <s v="ORD0090"/>
    <d v="2026-09-01T00:00:00"/>
    <s v="Aishwarya K"/>
    <x v="6"/>
    <x v="1"/>
    <x v="3"/>
    <n v="1"/>
    <n v="43163"/>
    <n v="43163"/>
    <x v="11"/>
    <n v="43163"/>
  </r>
  <r>
    <s v="ORD0091"/>
    <d v="2026-10-22T00:00:00"/>
    <s v="Vijay S"/>
    <x v="11"/>
    <x v="1"/>
    <x v="2"/>
    <n v="4"/>
    <n v="12741"/>
    <n v="50964"/>
    <x v="1"/>
    <n v="50964"/>
  </r>
  <r>
    <s v="ORD0092"/>
    <d v="2026-12-02T00:00:00"/>
    <s v="Arun Kumar"/>
    <x v="11"/>
    <x v="1"/>
    <x v="3"/>
    <n v="4"/>
    <n v="11508"/>
    <n v="46032"/>
    <x v="7"/>
    <n v="46032"/>
  </r>
  <r>
    <s v="ORD0093"/>
    <d v="2026-12-23T00:00:00"/>
    <s v="Gokul R"/>
    <x v="2"/>
    <x v="1"/>
    <x v="2"/>
    <n v="2"/>
    <n v="14222"/>
    <n v="28444"/>
    <x v="7"/>
    <n v="28444"/>
  </r>
  <r>
    <s v="ORD0094"/>
    <d v="2026-03-04T00:00:00"/>
    <s v="Dinesh K"/>
    <x v="6"/>
    <x v="1"/>
    <x v="0"/>
    <n v="5"/>
    <n v="43194"/>
    <n v="215970"/>
    <x v="6"/>
    <n v="215970"/>
  </r>
  <r>
    <s v="ORD0095"/>
    <d v="2026-10-14T00:00:00"/>
    <s v="Aishwarya K"/>
    <x v="11"/>
    <x v="1"/>
    <x v="4"/>
    <n v="6"/>
    <n v="12060"/>
    <n v="72360"/>
    <x v="1"/>
    <n v="72360"/>
  </r>
  <r>
    <s v="ORD0096"/>
    <d v="2026-09-16T00:00:00"/>
    <s v="Pavithra R"/>
    <x v="11"/>
    <x v="1"/>
    <x v="1"/>
    <n v="5"/>
    <n v="12605"/>
    <n v="63025"/>
    <x v="11"/>
    <n v="63025"/>
  </r>
  <r>
    <s v="ORD0097"/>
    <d v="2026-09-01T00:00:00"/>
    <s v="Dinesh K"/>
    <x v="11"/>
    <x v="1"/>
    <x v="4"/>
    <n v="2"/>
    <n v="12468"/>
    <n v="24936"/>
    <x v="11"/>
    <n v="24936"/>
  </r>
  <r>
    <s v="ORD0098"/>
    <d v="2026-09-24T00:00:00"/>
    <s v="Swetha P"/>
    <x v="4"/>
    <x v="3"/>
    <x v="0"/>
    <n v="6"/>
    <n v="2411"/>
    <n v="14466"/>
    <x v="11"/>
    <n v="14466"/>
  </r>
  <r>
    <s v="ORD0099"/>
    <d v="2026-05-27T00:00:00"/>
    <s v="Meena R"/>
    <x v="10"/>
    <x v="3"/>
    <x v="4"/>
    <n v="4"/>
    <n v="1119"/>
    <n v="4476"/>
    <x v="0"/>
    <n v="4476"/>
  </r>
  <r>
    <s v="ORD0100"/>
    <d v="2026-02-11T00:00:00"/>
    <s v="Rahul P"/>
    <x v="5"/>
    <x v="3"/>
    <x v="0"/>
    <n v="3"/>
    <n v="850"/>
    <n v="2550"/>
    <x v="9"/>
    <n v="2550"/>
  </r>
  <r>
    <s v="ORD0101"/>
    <d v="2026-12-28T00:00:00"/>
    <s v="Vijay S"/>
    <x v="4"/>
    <x v="3"/>
    <x v="3"/>
    <n v="4"/>
    <n v="2578"/>
    <n v="10312"/>
    <x v="7"/>
    <n v="10312"/>
  </r>
  <r>
    <s v="ORD0102"/>
    <d v="2026-08-27T00:00:00"/>
    <s v="Pavithra R"/>
    <x v="2"/>
    <x v="1"/>
    <x v="3"/>
    <n v="4"/>
    <n v="14594"/>
    <n v="58376"/>
    <x v="10"/>
    <n v="58376"/>
  </r>
  <r>
    <s v="ORD0103"/>
    <d v="2026-10-27T00:00:00"/>
    <s v="Arun Kumar"/>
    <x v="4"/>
    <x v="3"/>
    <x v="1"/>
    <n v="4"/>
    <n v="2456"/>
    <n v="9824"/>
    <x v="1"/>
    <n v="9824"/>
  </r>
  <r>
    <s v="ORD0104"/>
    <d v="2026-06-30T00:00:00"/>
    <s v="Anitha P"/>
    <x v="2"/>
    <x v="1"/>
    <x v="2"/>
    <n v="4"/>
    <n v="13814"/>
    <n v="55256"/>
    <x v="5"/>
    <n v="55256"/>
  </r>
  <r>
    <s v="ORD0105"/>
    <d v="2026-10-07T00:00:00"/>
    <s v="Aishwarya K"/>
    <x v="2"/>
    <x v="1"/>
    <x v="0"/>
    <n v="5"/>
    <n v="15594"/>
    <n v="77970"/>
    <x v="1"/>
    <n v="77970"/>
  </r>
  <r>
    <s v="ORD0106"/>
    <d v="2026-09-06T00:00:00"/>
    <s v="Arun Kumar"/>
    <x v="11"/>
    <x v="1"/>
    <x v="2"/>
    <n v="2"/>
    <n v="11564"/>
    <n v="23128"/>
    <x v="11"/>
    <n v="23128"/>
  </r>
  <r>
    <s v="ORD0107"/>
    <d v="2026-07-27T00:00:00"/>
    <s v="Sneha K"/>
    <x v="5"/>
    <x v="3"/>
    <x v="2"/>
    <n v="6"/>
    <n v="823"/>
    <n v="4938"/>
    <x v="8"/>
    <n v="4938"/>
  </r>
  <r>
    <s v="ORD0108"/>
    <d v="2026-07-21T00:00:00"/>
    <s v="Manoj V"/>
    <x v="1"/>
    <x v="1"/>
    <x v="1"/>
    <n v="5"/>
    <n v="18098"/>
    <n v="90490"/>
    <x v="8"/>
    <n v="90490"/>
  </r>
  <r>
    <s v="ORD0109"/>
    <d v="2026-08-08T00:00:00"/>
    <s v="Rahul P"/>
    <x v="0"/>
    <x v="0"/>
    <x v="2"/>
    <n v="1"/>
    <n v="1680"/>
    <n v="1680"/>
    <x v="10"/>
    <n v="1680"/>
  </r>
  <r>
    <s v="ORD0110"/>
    <d v="2026-06-17T00:00:00"/>
    <s v="Vijay S"/>
    <x v="1"/>
    <x v="1"/>
    <x v="2"/>
    <n v="1"/>
    <n v="17309"/>
    <n v="17309"/>
    <x v="5"/>
    <n v="17309"/>
  </r>
  <r>
    <s v="ORD0111"/>
    <d v="2026-07-14T00:00:00"/>
    <s v="Suresh K"/>
    <x v="5"/>
    <x v="3"/>
    <x v="2"/>
    <n v="3"/>
    <n v="833"/>
    <n v="2499"/>
    <x v="8"/>
    <n v="2499"/>
  </r>
  <r>
    <s v="ORD0112"/>
    <d v="2026-10-04T00:00:00"/>
    <s v="Priya S"/>
    <x v="10"/>
    <x v="3"/>
    <x v="4"/>
    <n v="1"/>
    <n v="1194"/>
    <n v="1194"/>
    <x v="1"/>
    <n v="1194"/>
  </r>
  <r>
    <s v="ORD0113"/>
    <d v="2026-11-30T00:00:00"/>
    <s v="Priya S"/>
    <x v="4"/>
    <x v="3"/>
    <x v="3"/>
    <n v="6"/>
    <n v="2327"/>
    <n v="13962"/>
    <x v="3"/>
    <n v="13962"/>
  </r>
  <r>
    <s v="ORD0114"/>
    <d v="2026-11-15T00:00:00"/>
    <s v="Rahul P"/>
    <x v="4"/>
    <x v="3"/>
    <x v="0"/>
    <n v="2"/>
    <n v="2636"/>
    <n v="5272"/>
    <x v="3"/>
    <n v="5272"/>
  </r>
  <r>
    <s v="ORD0115"/>
    <d v="2026-10-16T00:00:00"/>
    <s v="Vijay S"/>
    <x v="1"/>
    <x v="1"/>
    <x v="2"/>
    <n v="4"/>
    <n v="18488"/>
    <n v="73952"/>
    <x v="1"/>
    <n v="73952"/>
  </r>
  <r>
    <s v="ORD0116"/>
    <d v="2026-03-27T00:00:00"/>
    <s v="Aishwarya K"/>
    <x v="9"/>
    <x v="4"/>
    <x v="1"/>
    <n v="3"/>
    <n v="261"/>
    <n v="783"/>
    <x v="6"/>
    <n v="783"/>
  </r>
  <r>
    <s v="ORD0117"/>
    <d v="2026-03-25T00:00:00"/>
    <s v="Anitha P"/>
    <x v="9"/>
    <x v="4"/>
    <x v="3"/>
    <n v="6"/>
    <n v="235"/>
    <n v="1410"/>
    <x v="6"/>
    <n v="1410"/>
  </r>
  <r>
    <s v="ORD0118"/>
    <d v="2026-10-22T00:00:00"/>
    <s v="Naveen M"/>
    <x v="3"/>
    <x v="2"/>
    <x v="2"/>
    <n v="1"/>
    <n v="7480"/>
    <n v="7480"/>
    <x v="1"/>
    <n v="7480"/>
  </r>
  <r>
    <s v="ORD0119"/>
    <d v="2026-12-20T00:00:00"/>
    <s v="Meena R"/>
    <x v="9"/>
    <x v="4"/>
    <x v="3"/>
    <n v="2"/>
    <n v="233"/>
    <n v="466"/>
    <x v="7"/>
    <n v="466"/>
  </r>
  <r>
    <s v="ORD0120"/>
    <d v="2026-11-04T00:00:00"/>
    <s v="Divya M"/>
    <x v="9"/>
    <x v="4"/>
    <x v="1"/>
    <n v="3"/>
    <n v="264"/>
    <n v="792"/>
    <x v="3"/>
    <n v="792"/>
  </r>
  <r>
    <s v="ORD0121"/>
    <d v="2026-12-05T00:00:00"/>
    <s v="Keerthana S"/>
    <x v="6"/>
    <x v="1"/>
    <x v="3"/>
    <n v="3"/>
    <n v="45236"/>
    <n v="135708"/>
    <x v="7"/>
    <n v="135708"/>
  </r>
  <r>
    <s v="ORD0122"/>
    <d v="2026-08-04T00:00:00"/>
    <s v="Swetha P"/>
    <x v="7"/>
    <x v="2"/>
    <x v="3"/>
    <n v="6"/>
    <n v="8284"/>
    <n v="49704"/>
    <x v="10"/>
    <n v="49704"/>
  </r>
  <r>
    <s v="ORD0123"/>
    <d v="2026-08-24T00:00:00"/>
    <s v="Rahul P"/>
    <x v="2"/>
    <x v="1"/>
    <x v="2"/>
    <n v="3"/>
    <n v="15325"/>
    <n v="45975"/>
    <x v="10"/>
    <n v="45975"/>
  </r>
  <r>
    <s v="ORD0124"/>
    <d v="2026-11-30T00:00:00"/>
    <s v="Suresh K"/>
    <x v="1"/>
    <x v="1"/>
    <x v="1"/>
    <n v="6"/>
    <n v="18063"/>
    <n v="108378"/>
    <x v="3"/>
    <n v="108378"/>
  </r>
  <r>
    <s v="ORD0125"/>
    <d v="2026-10-31T00:00:00"/>
    <s v="Suresh K"/>
    <x v="7"/>
    <x v="2"/>
    <x v="4"/>
    <n v="4"/>
    <n v="8452"/>
    <n v="33808"/>
    <x v="1"/>
    <n v="33808"/>
  </r>
  <r>
    <s v="ORD0126"/>
    <d v="2026-08-19T00:00:00"/>
    <s v="Meena R"/>
    <x v="4"/>
    <x v="3"/>
    <x v="2"/>
    <n v="1"/>
    <n v="2412"/>
    <n v="2412"/>
    <x v="10"/>
    <n v="2412"/>
  </r>
  <r>
    <s v="ORD0127"/>
    <d v="2026-06-22T00:00:00"/>
    <s v="Arun Kumar"/>
    <x v="3"/>
    <x v="2"/>
    <x v="2"/>
    <n v="5"/>
    <n v="7188"/>
    <n v="35940"/>
    <x v="5"/>
    <n v="35940"/>
  </r>
  <r>
    <s v="ORD0128"/>
    <d v="2026-07-01T00:00:00"/>
    <s v="Suresh K"/>
    <x v="5"/>
    <x v="3"/>
    <x v="4"/>
    <n v="2"/>
    <n v="798"/>
    <n v="1596"/>
    <x v="8"/>
    <n v="1596"/>
  </r>
  <r>
    <s v="ORD0129"/>
    <d v="2026-05-22T00:00:00"/>
    <s v="Deepa S"/>
    <x v="10"/>
    <x v="3"/>
    <x v="3"/>
    <n v="5"/>
    <n v="1239"/>
    <n v="6195"/>
    <x v="0"/>
    <n v="6195"/>
  </r>
  <r>
    <s v="ORD0130"/>
    <d v="2026-07-28T00:00:00"/>
    <s v="Swetha P"/>
    <x v="7"/>
    <x v="2"/>
    <x v="1"/>
    <n v="2"/>
    <n v="7936"/>
    <n v="15872"/>
    <x v="8"/>
    <n v="15872"/>
  </r>
  <r>
    <s v="ORD0131"/>
    <d v="2026-12-31T00:00:00"/>
    <s v="Swetha P"/>
    <x v="4"/>
    <x v="3"/>
    <x v="2"/>
    <n v="6"/>
    <n v="2490"/>
    <n v="14940"/>
    <x v="7"/>
    <n v="14940"/>
  </r>
  <r>
    <s v="ORD0132"/>
    <d v="2026-07-27T00:00:00"/>
    <s v="Meena R"/>
    <x v="6"/>
    <x v="1"/>
    <x v="4"/>
    <n v="1"/>
    <n v="43518"/>
    <n v="43518"/>
    <x v="8"/>
    <n v="43518"/>
  </r>
  <r>
    <s v="ORD0133"/>
    <d v="2026-10-11T00:00:00"/>
    <s v="Gokul R"/>
    <x v="0"/>
    <x v="0"/>
    <x v="4"/>
    <n v="5"/>
    <n v="1762"/>
    <n v="8810"/>
    <x v="1"/>
    <n v="8810"/>
  </r>
  <r>
    <s v="ORD0134"/>
    <d v="2026-06-30T00:00:00"/>
    <s v="Dinesh K"/>
    <x v="2"/>
    <x v="1"/>
    <x v="4"/>
    <n v="6"/>
    <n v="15121"/>
    <n v="90726"/>
    <x v="5"/>
    <n v="90726"/>
  </r>
  <r>
    <s v="ORD0135"/>
    <d v="2026-04-09T00:00:00"/>
    <s v="Hari V"/>
    <x v="10"/>
    <x v="3"/>
    <x v="3"/>
    <n v="3"/>
    <n v="1148"/>
    <n v="3444"/>
    <x v="2"/>
    <n v="3444"/>
  </r>
  <r>
    <s v="ORD0136"/>
    <d v="2026-12-20T00:00:00"/>
    <s v="Sneha K"/>
    <x v="9"/>
    <x v="4"/>
    <x v="0"/>
    <n v="5"/>
    <n v="268"/>
    <n v="1340"/>
    <x v="7"/>
    <n v="1340"/>
  </r>
  <r>
    <s v="ORD0137"/>
    <d v="2026-10-29T00:00:00"/>
    <s v="Gokul R"/>
    <x v="4"/>
    <x v="3"/>
    <x v="1"/>
    <n v="6"/>
    <n v="2494"/>
    <n v="14964"/>
    <x v="1"/>
    <n v="14964"/>
  </r>
  <r>
    <s v="ORD0138"/>
    <d v="2026-06-01T00:00:00"/>
    <s v="Meena R"/>
    <x v="10"/>
    <x v="3"/>
    <x v="4"/>
    <n v="1"/>
    <n v="1264"/>
    <n v="1264"/>
    <x v="5"/>
    <n v="1264"/>
  </r>
  <r>
    <s v="ORD0139"/>
    <d v="2026-10-01T00:00:00"/>
    <s v="Rahul P"/>
    <x v="1"/>
    <x v="1"/>
    <x v="4"/>
    <n v="3"/>
    <n v="16601"/>
    <n v="49803"/>
    <x v="1"/>
    <n v="49803"/>
  </r>
  <r>
    <s v="ORD0140"/>
    <d v="2026-12-24T00:00:00"/>
    <s v="Rahul P"/>
    <x v="6"/>
    <x v="1"/>
    <x v="2"/>
    <n v="1"/>
    <n v="45384"/>
    <n v="45384"/>
    <x v="7"/>
    <n v="45384"/>
  </r>
  <r>
    <s v="ORD0141"/>
    <d v="2026-08-29T00:00:00"/>
    <s v="Swetha P"/>
    <x v="8"/>
    <x v="1"/>
    <x v="2"/>
    <n v="1"/>
    <n v="22261"/>
    <n v="22261"/>
    <x v="10"/>
    <n v="22261"/>
  </r>
  <r>
    <s v="ORD0142"/>
    <d v="2026-05-10T00:00:00"/>
    <s v="Swetha P"/>
    <x v="5"/>
    <x v="3"/>
    <x v="3"/>
    <n v="2"/>
    <n v="860"/>
    <n v="1720"/>
    <x v="0"/>
    <n v="1720"/>
  </r>
  <r>
    <s v="ORD0143"/>
    <d v="2026-10-23T00:00:00"/>
    <s v="Priya S"/>
    <x v="8"/>
    <x v="1"/>
    <x v="0"/>
    <n v="4"/>
    <n v="21971"/>
    <n v="87884"/>
    <x v="1"/>
    <n v="87884"/>
  </r>
  <r>
    <s v="ORD0144"/>
    <d v="2026-02-13T00:00:00"/>
    <s v="Meena R"/>
    <x v="1"/>
    <x v="1"/>
    <x v="3"/>
    <n v="5"/>
    <n v="19293"/>
    <n v="96465"/>
    <x v="9"/>
    <n v="96465"/>
  </r>
  <r>
    <s v="ORD0145"/>
    <d v="2026-11-13T00:00:00"/>
    <s v="Meena R"/>
    <x v="7"/>
    <x v="2"/>
    <x v="1"/>
    <n v="4"/>
    <n v="8645"/>
    <n v="34580"/>
    <x v="3"/>
    <n v="34580"/>
  </r>
  <r>
    <s v="ORD0146"/>
    <d v="2026-06-02T00:00:00"/>
    <s v="Manoj V"/>
    <x v="2"/>
    <x v="1"/>
    <x v="2"/>
    <n v="4"/>
    <n v="15980"/>
    <n v="63920"/>
    <x v="5"/>
    <n v="63920"/>
  </r>
  <r>
    <s v="ORD0147"/>
    <d v="2026-11-09T00:00:00"/>
    <s v="Divya M"/>
    <x v="10"/>
    <x v="3"/>
    <x v="0"/>
    <n v="5"/>
    <n v="1223"/>
    <n v="6115"/>
    <x v="3"/>
    <n v="6115"/>
  </r>
  <r>
    <s v="ORD0148"/>
    <d v="2026-02-11T00:00:00"/>
    <s v="Sneha K"/>
    <x v="0"/>
    <x v="0"/>
    <x v="0"/>
    <n v="2"/>
    <n v="1732"/>
    <n v="3464"/>
    <x v="9"/>
    <n v="3464"/>
  </r>
  <r>
    <s v="ORD0149"/>
    <d v="2026-01-02T00:00:00"/>
    <s v="Pavithra R"/>
    <x v="1"/>
    <x v="1"/>
    <x v="2"/>
    <n v="5"/>
    <n v="16776"/>
    <n v="83880"/>
    <x v="4"/>
    <n v="83880"/>
  </r>
  <r>
    <s v="ORD0150"/>
    <d v="2026-01-17T00:00:00"/>
    <s v="Meena R"/>
    <x v="9"/>
    <x v="4"/>
    <x v="4"/>
    <n v="5"/>
    <n v="249"/>
    <n v="1245"/>
    <x v="4"/>
    <n v="1245"/>
  </r>
  <r>
    <s v="ORD0151"/>
    <d v="2026-08-21T00:00:00"/>
    <s v="Karthik R"/>
    <x v="9"/>
    <x v="4"/>
    <x v="0"/>
    <n v="3"/>
    <n v="258"/>
    <n v="774"/>
    <x v="10"/>
    <n v="774"/>
  </r>
  <r>
    <s v="ORD0152"/>
    <d v="2026-04-12T00:00:00"/>
    <s v="Pavithra R"/>
    <x v="10"/>
    <x v="3"/>
    <x v="3"/>
    <n v="6"/>
    <n v="1217"/>
    <n v="7302"/>
    <x v="2"/>
    <n v="7302"/>
  </r>
  <r>
    <s v="ORD0153"/>
    <d v="2026-05-17T00:00:00"/>
    <s v="Rahul P"/>
    <x v="7"/>
    <x v="2"/>
    <x v="3"/>
    <n v="2"/>
    <n v="8701"/>
    <n v="17402"/>
    <x v="0"/>
    <n v="17402"/>
  </r>
  <r>
    <s v="ORD0154"/>
    <d v="2026-11-01T00:00:00"/>
    <s v="Manoj V"/>
    <x v="6"/>
    <x v="1"/>
    <x v="4"/>
    <n v="2"/>
    <n v="47107"/>
    <n v="94214"/>
    <x v="3"/>
    <n v="94214"/>
  </r>
  <r>
    <s v="ORD0155"/>
    <d v="2026-06-05T00:00:00"/>
    <s v="Naveen M"/>
    <x v="11"/>
    <x v="1"/>
    <x v="4"/>
    <n v="1"/>
    <n v="11940"/>
    <n v="11940"/>
    <x v="5"/>
    <n v="11940"/>
  </r>
  <r>
    <s v="ORD0156"/>
    <d v="2026-02-11T00:00:00"/>
    <s v="Aishwarya K"/>
    <x v="7"/>
    <x v="2"/>
    <x v="3"/>
    <n v="5"/>
    <n v="8492"/>
    <n v="42460"/>
    <x v="9"/>
    <n v="42460"/>
  </r>
  <r>
    <s v="ORD0157"/>
    <d v="2026-05-09T00:00:00"/>
    <s v="Arun Kumar"/>
    <x v="2"/>
    <x v="1"/>
    <x v="3"/>
    <n v="6"/>
    <n v="14574"/>
    <n v="87444"/>
    <x v="0"/>
    <n v="87444"/>
  </r>
  <r>
    <s v="ORD0158"/>
    <d v="2026-10-22T00:00:00"/>
    <s v="Manoj V"/>
    <x v="4"/>
    <x v="3"/>
    <x v="3"/>
    <n v="6"/>
    <n v="2634"/>
    <n v="15804"/>
    <x v="1"/>
    <n v="15804"/>
  </r>
  <r>
    <s v="ORD0159"/>
    <d v="2026-03-31T00:00:00"/>
    <s v="Swetha P"/>
    <x v="0"/>
    <x v="0"/>
    <x v="1"/>
    <n v="3"/>
    <n v="1822"/>
    <n v="5466"/>
    <x v="6"/>
    <n v="5466"/>
  </r>
  <r>
    <s v="ORD0160"/>
    <d v="2026-04-03T00:00:00"/>
    <s v="Manoj V"/>
    <x v="0"/>
    <x v="0"/>
    <x v="2"/>
    <n v="4"/>
    <n v="1920"/>
    <n v="7680"/>
    <x v="2"/>
    <n v="7680"/>
  </r>
  <r>
    <s v="ORD0161"/>
    <d v="2026-08-29T00:00:00"/>
    <s v="Keerthana S"/>
    <x v="0"/>
    <x v="0"/>
    <x v="2"/>
    <n v="4"/>
    <n v="1935"/>
    <n v="7740"/>
    <x v="10"/>
    <n v="7740"/>
  </r>
  <r>
    <s v="ORD0162"/>
    <d v="2026-03-24T00:00:00"/>
    <s v="Hari V"/>
    <x v="5"/>
    <x v="3"/>
    <x v="2"/>
    <n v="3"/>
    <n v="822"/>
    <n v="2466"/>
    <x v="6"/>
    <n v="2466"/>
  </r>
  <r>
    <s v="ORD0163"/>
    <d v="2026-07-25T00:00:00"/>
    <s v="Deepa S"/>
    <x v="9"/>
    <x v="4"/>
    <x v="3"/>
    <n v="4"/>
    <n v="242"/>
    <n v="968"/>
    <x v="8"/>
    <n v="968"/>
  </r>
  <r>
    <s v="ORD0164"/>
    <d v="2026-06-15T00:00:00"/>
    <s v="Divya M"/>
    <x v="11"/>
    <x v="1"/>
    <x v="2"/>
    <n v="1"/>
    <n v="11644"/>
    <n v="11644"/>
    <x v="5"/>
    <n v="11644"/>
  </r>
  <r>
    <s v="ORD0165"/>
    <d v="2026-10-05T00:00:00"/>
    <s v="Dinesh K"/>
    <x v="7"/>
    <x v="2"/>
    <x v="2"/>
    <n v="1"/>
    <n v="8714"/>
    <n v="8714"/>
    <x v="1"/>
    <n v="8714"/>
  </r>
  <r>
    <s v="ORD0166"/>
    <d v="2026-11-15T00:00:00"/>
    <s v="Swetha P"/>
    <x v="6"/>
    <x v="1"/>
    <x v="2"/>
    <n v="2"/>
    <n v="45133"/>
    <n v="90266"/>
    <x v="3"/>
    <n v="90266"/>
  </r>
  <r>
    <s v="ORD0167"/>
    <d v="2026-03-09T00:00:00"/>
    <s v="Anitha P"/>
    <x v="6"/>
    <x v="1"/>
    <x v="2"/>
    <n v="2"/>
    <n v="43323"/>
    <n v="86646"/>
    <x v="6"/>
    <n v="86646"/>
  </r>
  <r>
    <s v="ORD0168"/>
    <d v="2026-11-19T00:00:00"/>
    <s v="Aishwarya K"/>
    <x v="9"/>
    <x v="4"/>
    <x v="0"/>
    <n v="4"/>
    <n v="235"/>
    <n v="940"/>
    <x v="3"/>
    <n v="940"/>
  </r>
  <r>
    <s v="ORD0169"/>
    <d v="2026-01-08T00:00:00"/>
    <s v="Deepa S"/>
    <x v="9"/>
    <x v="4"/>
    <x v="2"/>
    <n v="2"/>
    <n v="242"/>
    <n v="484"/>
    <x v="4"/>
    <n v="484"/>
  </r>
  <r>
    <s v="ORD0170"/>
    <d v="2026-02-28T00:00:00"/>
    <s v="Dinesh K"/>
    <x v="8"/>
    <x v="1"/>
    <x v="3"/>
    <n v="2"/>
    <n v="23733"/>
    <n v="47466"/>
    <x v="9"/>
    <n v="47466"/>
  </r>
  <r>
    <s v="ORD0171"/>
    <d v="2026-05-30T00:00:00"/>
    <s v="Gokul R"/>
    <x v="0"/>
    <x v="0"/>
    <x v="4"/>
    <n v="2"/>
    <n v="1800"/>
    <n v="3600"/>
    <x v="0"/>
    <n v="3600"/>
  </r>
  <r>
    <s v="ORD0172"/>
    <d v="2026-05-05T00:00:00"/>
    <s v="Dinesh K"/>
    <x v="2"/>
    <x v="1"/>
    <x v="1"/>
    <n v="4"/>
    <n v="16153"/>
    <n v="64612"/>
    <x v="0"/>
    <n v="64612"/>
  </r>
  <r>
    <s v="ORD0173"/>
    <d v="2026-11-03T00:00:00"/>
    <s v="Gokul R"/>
    <x v="1"/>
    <x v="1"/>
    <x v="0"/>
    <n v="4"/>
    <n v="17109"/>
    <n v="68436"/>
    <x v="3"/>
    <n v="68436"/>
  </r>
  <r>
    <s v="ORD0174"/>
    <d v="2026-08-01T00:00:00"/>
    <s v="Hari V"/>
    <x v="8"/>
    <x v="1"/>
    <x v="1"/>
    <n v="3"/>
    <n v="22960"/>
    <n v="68880"/>
    <x v="10"/>
    <n v="68880"/>
  </r>
  <r>
    <s v="ORD0175"/>
    <d v="2026-06-02T00:00:00"/>
    <s v="Manoj V"/>
    <x v="10"/>
    <x v="3"/>
    <x v="1"/>
    <n v="1"/>
    <n v="1158"/>
    <n v="1158"/>
    <x v="5"/>
    <n v="1158"/>
  </r>
  <r>
    <s v="ORD0176"/>
    <d v="2026-08-17T00:00:00"/>
    <s v="Deepa S"/>
    <x v="0"/>
    <x v="0"/>
    <x v="2"/>
    <n v="4"/>
    <n v="1905"/>
    <n v="7620"/>
    <x v="10"/>
    <n v="7620"/>
  </r>
  <r>
    <s v="ORD0177"/>
    <d v="2026-10-06T00:00:00"/>
    <s v="Naveen M"/>
    <x v="5"/>
    <x v="3"/>
    <x v="2"/>
    <n v="3"/>
    <n v="807"/>
    <n v="2421"/>
    <x v="1"/>
    <n v="2421"/>
  </r>
  <r>
    <s v="ORD0178"/>
    <d v="2026-05-03T00:00:00"/>
    <s v="Manoj V"/>
    <x v="5"/>
    <x v="3"/>
    <x v="2"/>
    <n v="2"/>
    <n v="862"/>
    <n v="1724"/>
    <x v="0"/>
    <n v="1724"/>
  </r>
  <r>
    <s v="ORD0179"/>
    <d v="2026-08-31T00:00:00"/>
    <s v="Naveen M"/>
    <x v="4"/>
    <x v="3"/>
    <x v="2"/>
    <n v="4"/>
    <n v="2317"/>
    <n v="9268"/>
    <x v="10"/>
    <n v="9268"/>
  </r>
  <r>
    <s v="ORD0180"/>
    <d v="2026-09-11T00:00:00"/>
    <s v="Priya S"/>
    <x v="0"/>
    <x v="0"/>
    <x v="0"/>
    <n v="6"/>
    <n v="1938"/>
    <n v="11628"/>
    <x v="11"/>
    <n v="11628"/>
  </r>
  <r>
    <s v="ORD0181"/>
    <d v="2026-02-21T00:00:00"/>
    <s v="Dinesh K"/>
    <x v="7"/>
    <x v="2"/>
    <x v="3"/>
    <n v="5"/>
    <n v="8272"/>
    <n v="41360"/>
    <x v="9"/>
    <n v="41360"/>
  </r>
  <r>
    <s v="ORD0182"/>
    <d v="2026-03-15T00:00:00"/>
    <s v="Pavithra R"/>
    <x v="7"/>
    <x v="2"/>
    <x v="0"/>
    <n v="4"/>
    <n v="7841"/>
    <n v="31364"/>
    <x v="6"/>
    <n v="31364"/>
  </r>
  <r>
    <s v="ORD0183"/>
    <d v="2026-05-16T00:00:00"/>
    <s v="Hari V"/>
    <x v="8"/>
    <x v="1"/>
    <x v="1"/>
    <n v="4"/>
    <n v="22991"/>
    <n v="91964"/>
    <x v="0"/>
    <n v="91964"/>
  </r>
  <r>
    <s v="ORD0184"/>
    <d v="2026-06-18T00:00:00"/>
    <s v="Deepa S"/>
    <x v="9"/>
    <x v="4"/>
    <x v="2"/>
    <n v="4"/>
    <n v="256"/>
    <n v="1024"/>
    <x v="5"/>
    <n v="1024"/>
  </r>
  <r>
    <s v="ORD0185"/>
    <d v="2026-09-07T00:00:00"/>
    <s v="Deepa S"/>
    <x v="5"/>
    <x v="3"/>
    <x v="3"/>
    <n v="6"/>
    <n v="828"/>
    <n v="4968"/>
    <x v="11"/>
    <n v="4968"/>
  </r>
  <r>
    <s v="ORD0186"/>
    <d v="2026-12-17T00:00:00"/>
    <s v="Anitha P"/>
    <x v="3"/>
    <x v="2"/>
    <x v="0"/>
    <n v="1"/>
    <n v="6703"/>
    <n v="6703"/>
    <x v="7"/>
    <n v="6703"/>
  </r>
  <r>
    <s v="ORD0187"/>
    <d v="2026-02-20T00:00:00"/>
    <s v="Divya M"/>
    <x v="9"/>
    <x v="4"/>
    <x v="2"/>
    <n v="1"/>
    <n v="247"/>
    <n v="247"/>
    <x v="9"/>
    <n v="247"/>
  </r>
  <r>
    <s v="ORD0188"/>
    <d v="2026-01-15T00:00:00"/>
    <s v="Priya S"/>
    <x v="1"/>
    <x v="1"/>
    <x v="4"/>
    <n v="6"/>
    <n v="17422"/>
    <n v="104532"/>
    <x v="4"/>
    <n v="104532"/>
  </r>
  <r>
    <s v="ORD0189"/>
    <d v="2026-08-09T00:00:00"/>
    <s v="Rahul P"/>
    <x v="6"/>
    <x v="1"/>
    <x v="0"/>
    <n v="3"/>
    <n v="43981"/>
    <n v="131943"/>
    <x v="10"/>
    <n v="131943"/>
  </r>
  <r>
    <s v="ORD0190"/>
    <d v="2026-04-03T00:00:00"/>
    <s v="Sneha K"/>
    <x v="7"/>
    <x v="2"/>
    <x v="0"/>
    <n v="4"/>
    <n v="8590"/>
    <n v="34360"/>
    <x v="2"/>
    <n v="34360"/>
  </r>
  <r>
    <s v="ORD0191"/>
    <d v="2026-11-14T00:00:00"/>
    <s v="Meena R"/>
    <x v="8"/>
    <x v="1"/>
    <x v="2"/>
    <n v="5"/>
    <n v="23305"/>
    <n v="116525"/>
    <x v="3"/>
    <n v="116525"/>
  </r>
  <r>
    <s v="ORD0192"/>
    <d v="2026-11-23T00:00:00"/>
    <s v="Suresh K"/>
    <x v="3"/>
    <x v="2"/>
    <x v="2"/>
    <n v="2"/>
    <n v="6700"/>
    <n v="13400"/>
    <x v="3"/>
    <n v="13400"/>
  </r>
  <r>
    <s v="ORD0193"/>
    <d v="2026-08-27T00:00:00"/>
    <s v="Anitha P"/>
    <x v="10"/>
    <x v="3"/>
    <x v="1"/>
    <n v="6"/>
    <n v="1106"/>
    <n v="6636"/>
    <x v="10"/>
    <n v="6636"/>
  </r>
  <r>
    <s v="ORD0194"/>
    <d v="2026-06-26T00:00:00"/>
    <s v="Manoj V"/>
    <x v="1"/>
    <x v="1"/>
    <x v="4"/>
    <n v="1"/>
    <n v="17832"/>
    <n v="17832"/>
    <x v="5"/>
    <n v="17832"/>
  </r>
  <r>
    <s v="ORD0195"/>
    <d v="2026-08-22T00:00:00"/>
    <s v="Anitha P"/>
    <x v="0"/>
    <x v="0"/>
    <x v="0"/>
    <n v="4"/>
    <n v="1855"/>
    <n v="7420"/>
    <x v="10"/>
    <n v="7420"/>
  </r>
  <r>
    <s v="ORD0196"/>
    <d v="2026-07-15T00:00:00"/>
    <s v="Manoj V"/>
    <x v="2"/>
    <x v="1"/>
    <x v="4"/>
    <n v="4"/>
    <n v="14056"/>
    <n v="56224"/>
    <x v="8"/>
    <n v="56224"/>
  </r>
  <r>
    <s v="ORD0197"/>
    <d v="2026-06-01T00:00:00"/>
    <s v="Arun Kumar"/>
    <x v="3"/>
    <x v="2"/>
    <x v="2"/>
    <n v="3"/>
    <n v="7552"/>
    <n v="22656"/>
    <x v="5"/>
    <n v="22656"/>
  </r>
  <r>
    <s v="ORD0198"/>
    <d v="2026-12-18T00:00:00"/>
    <s v="Priya S"/>
    <x v="10"/>
    <x v="3"/>
    <x v="1"/>
    <n v="1"/>
    <n v="1213"/>
    <n v="1213"/>
    <x v="7"/>
    <n v="1213"/>
  </r>
  <r>
    <s v="ORD0199"/>
    <d v="2026-05-27T00:00:00"/>
    <s v="Meena R"/>
    <x v="9"/>
    <x v="4"/>
    <x v="1"/>
    <n v="4"/>
    <n v="263"/>
    <n v="1052"/>
    <x v="0"/>
    <n v="1052"/>
  </r>
  <r>
    <s v="ORD0200"/>
    <d v="2026-11-14T00:00:00"/>
    <s v="Suresh K"/>
    <x v="5"/>
    <x v="3"/>
    <x v="0"/>
    <n v="2"/>
    <n v="817"/>
    <n v="1634"/>
    <x v="3"/>
    <n v="1634"/>
  </r>
  <r>
    <s v="ORD0201"/>
    <d v="2026-11-27T00:00:00"/>
    <s v="Priya S"/>
    <x v="0"/>
    <x v="0"/>
    <x v="4"/>
    <n v="1"/>
    <n v="1916"/>
    <n v="1916"/>
    <x v="3"/>
    <n v="1916"/>
  </r>
  <r>
    <s v="ORD0202"/>
    <d v="2026-03-09T00:00:00"/>
    <s v="Karthik R"/>
    <x v="11"/>
    <x v="1"/>
    <x v="4"/>
    <n v="1"/>
    <n v="12153"/>
    <n v="12153"/>
    <x v="6"/>
    <n v="12153"/>
  </r>
  <r>
    <s v="ORD0203"/>
    <d v="2026-04-13T00:00:00"/>
    <s v="Rahul P"/>
    <x v="5"/>
    <x v="3"/>
    <x v="1"/>
    <n v="6"/>
    <n v="789"/>
    <n v="4734"/>
    <x v="2"/>
    <n v="4734"/>
  </r>
  <r>
    <s v="ORD0204"/>
    <d v="2026-05-20T00:00:00"/>
    <s v="Sneha K"/>
    <x v="5"/>
    <x v="3"/>
    <x v="4"/>
    <n v="5"/>
    <n v="800"/>
    <n v="4000"/>
    <x v="0"/>
    <n v="4000"/>
  </r>
  <r>
    <s v="ORD0205"/>
    <d v="2026-06-23T00:00:00"/>
    <s v="Divya M"/>
    <x v="11"/>
    <x v="1"/>
    <x v="2"/>
    <n v="3"/>
    <n v="12473"/>
    <n v="37419"/>
    <x v="5"/>
    <n v="37419"/>
  </r>
  <r>
    <s v="ORD0206"/>
    <d v="2026-04-26T00:00:00"/>
    <s v="Naveen M"/>
    <x v="8"/>
    <x v="1"/>
    <x v="1"/>
    <n v="2"/>
    <n v="22895"/>
    <n v="45790"/>
    <x v="2"/>
    <n v="45790"/>
  </r>
  <r>
    <s v="ORD0207"/>
    <d v="2026-01-08T00:00:00"/>
    <s v="Suresh K"/>
    <x v="5"/>
    <x v="3"/>
    <x v="1"/>
    <n v="1"/>
    <n v="837"/>
    <n v="837"/>
    <x v="4"/>
    <n v="837"/>
  </r>
  <r>
    <s v="ORD0208"/>
    <d v="2026-12-11T00:00:00"/>
    <s v="Suresh K"/>
    <x v="8"/>
    <x v="1"/>
    <x v="1"/>
    <n v="4"/>
    <n v="21537"/>
    <n v="86148"/>
    <x v="7"/>
    <n v="86148"/>
  </r>
  <r>
    <s v="ORD0209"/>
    <d v="2026-02-25T00:00:00"/>
    <s v="Meena R"/>
    <x v="2"/>
    <x v="1"/>
    <x v="2"/>
    <n v="6"/>
    <n v="16057"/>
    <n v="96342"/>
    <x v="9"/>
    <n v="96342"/>
  </r>
  <r>
    <s v="ORD0210"/>
    <d v="2026-10-15T00:00:00"/>
    <s v="Hari V"/>
    <x v="6"/>
    <x v="1"/>
    <x v="1"/>
    <n v="5"/>
    <n v="47766"/>
    <n v="238830"/>
    <x v="1"/>
    <n v="238830"/>
  </r>
  <r>
    <s v="ORD0211"/>
    <d v="2026-08-26T00:00:00"/>
    <s v="Anitha P"/>
    <x v="4"/>
    <x v="3"/>
    <x v="2"/>
    <n v="6"/>
    <n v="2325"/>
    <n v="13950"/>
    <x v="10"/>
    <n v="13950"/>
  </r>
  <r>
    <s v="ORD0212"/>
    <d v="2026-01-20T00:00:00"/>
    <s v="Anitha P"/>
    <x v="8"/>
    <x v="1"/>
    <x v="2"/>
    <n v="2"/>
    <n v="20400"/>
    <n v="40800"/>
    <x v="4"/>
    <n v="40800"/>
  </r>
  <r>
    <s v="ORD0213"/>
    <d v="2026-10-03T00:00:00"/>
    <s v="Rahul P"/>
    <x v="8"/>
    <x v="1"/>
    <x v="2"/>
    <n v="1"/>
    <n v="21066"/>
    <n v="21066"/>
    <x v="1"/>
    <n v="21066"/>
  </r>
  <r>
    <s v="ORD0214"/>
    <d v="2026-12-23T00:00:00"/>
    <s v="Deepa S"/>
    <x v="11"/>
    <x v="1"/>
    <x v="2"/>
    <n v="3"/>
    <n v="12327"/>
    <n v="36981"/>
    <x v="7"/>
    <n v="36981"/>
  </r>
  <r>
    <s v="ORD0215"/>
    <d v="2026-08-01T00:00:00"/>
    <s v="Divya M"/>
    <x v="3"/>
    <x v="2"/>
    <x v="2"/>
    <n v="6"/>
    <n v="7254"/>
    <n v="43524"/>
    <x v="10"/>
    <n v="43524"/>
  </r>
  <r>
    <s v="ORD0216"/>
    <d v="2026-05-24T00:00:00"/>
    <s v="Priya S"/>
    <x v="3"/>
    <x v="2"/>
    <x v="4"/>
    <n v="4"/>
    <n v="7492"/>
    <n v="29968"/>
    <x v="0"/>
    <n v="29968"/>
  </r>
  <r>
    <s v="ORD0217"/>
    <d v="2026-05-01T00:00:00"/>
    <s v="Keerthana S"/>
    <x v="4"/>
    <x v="3"/>
    <x v="3"/>
    <n v="4"/>
    <n v="2478"/>
    <n v="9912"/>
    <x v="0"/>
    <n v="9912"/>
  </r>
  <r>
    <s v="ORD0218"/>
    <d v="2026-11-27T00:00:00"/>
    <s v="Keerthana S"/>
    <x v="0"/>
    <x v="0"/>
    <x v="3"/>
    <n v="3"/>
    <n v="1813"/>
    <n v="5439"/>
    <x v="3"/>
    <n v="5439"/>
  </r>
  <r>
    <s v="ORD0219"/>
    <d v="2026-03-04T00:00:00"/>
    <s v="Dinesh K"/>
    <x v="2"/>
    <x v="1"/>
    <x v="3"/>
    <n v="3"/>
    <n v="14256"/>
    <n v="42768"/>
    <x v="6"/>
    <n v="42768"/>
  </r>
  <r>
    <s v="ORD0220"/>
    <d v="2026-11-02T00:00:00"/>
    <s v="Arun Kumar"/>
    <x v="0"/>
    <x v="0"/>
    <x v="3"/>
    <n v="2"/>
    <n v="1841"/>
    <n v="3682"/>
    <x v="3"/>
    <n v="3682"/>
  </r>
  <r>
    <s v="ORD0221"/>
    <d v="2026-10-17T00:00:00"/>
    <s v="Vijay S"/>
    <x v="5"/>
    <x v="3"/>
    <x v="3"/>
    <n v="2"/>
    <n v="863"/>
    <n v="1726"/>
    <x v="1"/>
    <n v="1726"/>
  </r>
  <r>
    <s v="ORD0222"/>
    <d v="2026-04-30T00:00:00"/>
    <s v="Hari V"/>
    <x v="7"/>
    <x v="2"/>
    <x v="0"/>
    <n v="2"/>
    <n v="8617"/>
    <n v="17234"/>
    <x v="2"/>
    <n v="17234"/>
  </r>
  <r>
    <s v="ORD0223"/>
    <d v="2026-03-16T00:00:00"/>
    <s v="Rahul P"/>
    <x v="3"/>
    <x v="2"/>
    <x v="1"/>
    <n v="1"/>
    <n v="6751"/>
    <n v="6751"/>
    <x v="6"/>
    <n v="6751"/>
  </r>
  <r>
    <s v="ORD0224"/>
    <d v="2026-01-14T00:00:00"/>
    <s v="Rahul P"/>
    <x v="10"/>
    <x v="3"/>
    <x v="3"/>
    <n v="2"/>
    <n v="1125"/>
    <n v="2250"/>
    <x v="4"/>
    <n v="2250"/>
  </r>
  <r>
    <s v="ORD0225"/>
    <d v="2026-01-09T00:00:00"/>
    <s v="Sneha K"/>
    <x v="5"/>
    <x v="3"/>
    <x v="4"/>
    <n v="2"/>
    <n v="811"/>
    <n v="1622"/>
    <x v="4"/>
    <n v="1622"/>
  </r>
  <r>
    <s v="ORD0226"/>
    <d v="2026-09-27T00:00:00"/>
    <s v="Divya M"/>
    <x v="6"/>
    <x v="1"/>
    <x v="3"/>
    <n v="2"/>
    <n v="46740"/>
    <n v="93480"/>
    <x v="11"/>
    <n v="93480"/>
  </r>
  <r>
    <s v="ORD0227"/>
    <d v="2026-09-20T00:00:00"/>
    <s v="Manoj V"/>
    <x v="11"/>
    <x v="1"/>
    <x v="3"/>
    <n v="4"/>
    <n v="12534"/>
    <n v="50136"/>
    <x v="11"/>
    <n v="50136"/>
  </r>
  <r>
    <s v="ORD0228"/>
    <d v="2026-11-11T00:00:00"/>
    <s v="Priya S"/>
    <x v="11"/>
    <x v="1"/>
    <x v="1"/>
    <n v="5"/>
    <n v="11465"/>
    <n v="57325"/>
    <x v="3"/>
    <n v="57325"/>
  </r>
  <r>
    <s v="ORD0229"/>
    <d v="2026-01-16T00:00:00"/>
    <s v="Priya S"/>
    <x v="10"/>
    <x v="3"/>
    <x v="2"/>
    <n v="4"/>
    <n v="1228"/>
    <n v="4912"/>
    <x v="4"/>
    <n v="4912"/>
  </r>
  <r>
    <s v="ORD0230"/>
    <d v="2026-09-09T00:00:00"/>
    <s v="Dinesh K"/>
    <x v="2"/>
    <x v="1"/>
    <x v="3"/>
    <n v="4"/>
    <n v="15447"/>
    <n v="61788"/>
    <x v="11"/>
    <n v="61788"/>
  </r>
  <r>
    <s v="ORD0231"/>
    <d v="2026-02-03T00:00:00"/>
    <s v="Rahul P"/>
    <x v="8"/>
    <x v="1"/>
    <x v="4"/>
    <n v="3"/>
    <n v="22381"/>
    <n v="67143"/>
    <x v="9"/>
    <n v="67143"/>
  </r>
  <r>
    <s v="ORD0232"/>
    <d v="2026-12-31T00:00:00"/>
    <s v="Hari V"/>
    <x v="3"/>
    <x v="2"/>
    <x v="2"/>
    <n v="6"/>
    <n v="7096"/>
    <n v="42576"/>
    <x v="7"/>
    <n v="42576"/>
  </r>
  <r>
    <s v="ORD0233"/>
    <d v="2026-09-16T00:00:00"/>
    <s v="Aishwarya K"/>
    <x v="3"/>
    <x v="2"/>
    <x v="2"/>
    <n v="5"/>
    <n v="6770"/>
    <n v="33850"/>
    <x v="11"/>
    <n v="33850"/>
  </r>
  <r>
    <s v="ORD0234"/>
    <d v="2026-12-02T00:00:00"/>
    <s v="Deepa S"/>
    <x v="8"/>
    <x v="1"/>
    <x v="0"/>
    <n v="6"/>
    <n v="20643"/>
    <n v="123858"/>
    <x v="7"/>
    <n v="123858"/>
  </r>
  <r>
    <s v="ORD0235"/>
    <d v="2026-07-31T00:00:00"/>
    <s v="Hari V"/>
    <x v="2"/>
    <x v="1"/>
    <x v="2"/>
    <n v="4"/>
    <n v="15931"/>
    <n v="63724"/>
    <x v="8"/>
    <n v="63724"/>
  </r>
  <r>
    <s v="ORD0236"/>
    <d v="2026-06-10T00:00:00"/>
    <s v="Pavithra R"/>
    <x v="2"/>
    <x v="1"/>
    <x v="4"/>
    <n v="4"/>
    <n v="15551"/>
    <n v="62204"/>
    <x v="5"/>
    <n v="62204"/>
  </r>
  <r>
    <s v="ORD0237"/>
    <d v="2026-03-20T00:00:00"/>
    <s v="Swetha P"/>
    <x v="0"/>
    <x v="0"/>
    <x v="3"/>
    <n v="3"/>
    <n v="1764"/>
    <n v="5292"/>
    <x v="6"/>
    <n v="5292"/>
  </r>
  <r>
    <s v="ORD0238"/>
    <d v="2026-02-19T00:00:00"/>
    <s v="Keerthana S"/>
    <x v="8"/>
    <x v="1"/>
    <x v="0"/>
    <n v="1"/>
    <n v="20568"/>
    <n v="20568"/>
    <x v="9"/>
    <n v="20568"/>
  </r>
  <r>
    <s v="ORD0239"/>
    <d v="2026-10-15T00:00:00"/>
    <s v="Deepa S"/>
    <x v="7"/>
    <x v="2"/>
    <x v="4"/>
    <n v="1"/>
    <n v="8618"/>
    <n v="8618"/>
    <x v="1"/>
    <n v="8618"/>
  </r>
  <r>
    <s v="ORD0240"/>
    <d v="2026-12-07T00:00:00"/>
    <s v="Pavithra R"/>
    <x v="0"/>
    <x v="0"/>
    <x v="3"/>
    <n v="1"/>
    <n v="1774"/>
    <n v="1774"/>
    <x v="7"/>
    <n v="1774"/>
  </r>
  <r>
    <s v="ORD0241"/>
    <d v="2026-02-23T00:00:00"/>
    <s v="Manoj V"/>
    <x v="10"/>
    <x v="3"/>
    <x v="1"/>
    <n v="5"/>
    <n v="1164"/>
    <n v="5820"/>
    <x v="9"/>
    <n v="5820"/>
  </r>
  <r>
    <s v="ORD0242"/>
    <d v="2026-04-25T00:00:00"/>
    <s v="Divya M"/>
    <x v="4"/>
    <x v="3"/>
    <x v="4"/>
    <n v="2"/>
    <n v="2563"/>
    <n v="5126"/>
    <x v="2"/>
    <n v="5126"/>
  </r>
  <r>
    <s v="ORD0243"/>
    <d v="2026-05-23T00:00:00"/>
    <s v="Manoj V"/>
    <x v="7"/>
    <x v="2"/>
    <x v="0"/>
    <n v="3"/>
    <n v="7976"/>
    <n v="23928"/>
    <x v="0"/>
    <n v="23928"/>
  </r>
  <r>
    <s v="ORD0244"/>
    <d v="2026-11-15T00:00:00"/>
    <s v="Aishwarya K"/>
    <x v="2"/>
    <x v="1"/>
    <x v="1"/>
    <n v="5"/>
    <n v="16139"/>
    <n v="80695"/>
    <x v="3"/>
    <n v="80695"/>
  </r>
  <r>
    <s v="ORD0245"/>
    <d v="2026-12-22T00:00:00"/>
    <s v="Suresh K"/>
    <x v="6"/>
    <x v="1"/>
    <x v="3"/>
    <n v="5"/>
    <n v="48089"/>
    <n v="240445"/>
    <x v="7"/>
    <n v="240445"/>
  </r>
  <r>
    <s v="ORD0246"/>
    <d v="2026-06-08T00:00:00"/>
    <s v="Hari V"/>
    <x v="1"/>
    <x v="1"/>
    <x v="4"/>
    <n v="3"/>
    <n v="18584"/>
    <n v="55752"/>
    <x v="5"/>
    <n v="55752"/>
  </r>
  <r>
    <s v="ORD0247"/>
    <d v="2026-10-17T00:00:00"/>
    <s v="Naveen M"/>
    <x v="6"/>
    <x v="1"/>
    <x v="3"/>
    <n v="2"/>
    <n v="47663"/>
    <n v="95326"/>
    <x v="1"/>
    <n v="95326"/>
  </r>
  <r>
    <s v="ORD0248"/>
    <d v="2026-01-16T00:00:00"/>
    <s v="Karthik R"/>
    <x v="1"/>
    <x v="1"/>
    <x v="1"/>
    <n v="6"/>
    <n v="18384"/>
    <n v="110304"/>
    <x v="4"/>
    <n v="110304"/>
  </r>
  <r>
    <s v="ORD0249"/>
    <d v="2026-06-24T00:00:00"/>
    <s v="Sneha K"/>
    <x v="4"/>
    <x v="3"/>
    <x v="4"/>
    <n v="4"/>
    <n v="2468"/>
    <n v="9872"/>
    <x v="5"/>
    <n v="9872"/>
  </r>
  <r>
    <s v="ORD0250"/>
    <d v="2026-10-18T00:00:00"/>
    <s v="Aishwarya K"/>
    <x v="10"/>
    <x v="3"/>
    <x v="3"/>
    <n v="6"/>
    <n v="1166"/>
    <n v="6996"/>
    <x v="1"/>
    <n v="6996"/>
  </r>
  <r>
    <s v="ORD0251"/>
    <d v="2026-11-13T00:00:00"/>
    <s v="Priya S"/>
    <x v="6"/>
    <x v="1"/>
    <x v="3"/>
    <n v="2"/>
    <n v="42533"/>
    <n v="85066"/>
    <x v="3"/>
    <n v="85066"/>
  </r>
  <r>
    <s v="ORD0252"/>
    <d v="2026-09-06T00:00:00"/>
    <s v="Aishwarya K"/>
    <x v="10"/>
    <x v="3"/>
    <x v="2"/>
    <n v="4"/>
    <n v="1231"/>
    <n v="4924"/>
    <x v="11"/>
    <n v="4924"/>
  </r>
  <r>
    <s v="ORD0253"/>
    <d v="2026-09-20T00:00:00"/>
    <s v="Divya M"/>
    <x v="2"/>
    <x v="1"/>
    <x v="4"/>
    <n v="3"/>
    <n v="14317"/>
    <n v="42951"/>
    <x v="11"/>
    <n v="42951"/>
  </r>
  <r>
    <s v="ORD0254"/>
    <d v="2026-12-14T00:00:00"/>
    <s v="Manoj V"/>
    <x v="2"/>
    <x v="1"/>
    <x v="2"/>
    <n v="1"/>
    <n v="14480"/>
    <n v="14480"/>
    <x v="7"/>
    <n v="14480"/>
  </r>
  <r>
    <s v="ORD0255"/>
    <d v="2026-04-23T00:00:00"/>
    <s v="Naveen M"/>
    <x v="7"/>
    <x v="2"/>
    <x v="1"/>
    <n v="6"/>
    <n v="8239"/>
    <n v="49434"/>
    <x v="2"/>
    <n v="49434"/>
  </r>
  <r>
    <s v="ORD0256"/>
    <d v="2026-04-19T00:00:00"/>
    <s v="Rahul P"/>
    <x v="6"/>
    <x v="1"/>
    <x v="4"/>
    <n v="1"/>
    <n v="42872"/>
    <n v="42872"/>
    <x v="2"/>
    <n v="42872"/>
  </r>
  <r>
    <s v="ORD0257"/>
    <d v="2026-09-12T00:00:00"/>
    <s v="Pavithra R"/>
    <x v="10"/>
    <x v="3"/>
    <x v="0"/>
    <n v="3"/>
    <n v="1127"/>
    <n v="3381"/>
    <x v="11"/>
    <n v="3381"/>
  </r>
  <r>
    <s v="ORD0258"/>
    <d v="2026-04-28T00:00:00"/>
    <s v="Gokul R"/>
    <x v="1"/>
    <x v="1"/>
    <x v="1"/>
    <n v="4"/>
    <n v="18094"/>
    <n v="72376"/>
    <x v="2"/>
    <n v="72376"/>
  </r>
  <r>
    <s v="ORD0259"/>
    <d v="2026-01-22T00:00:00"/>
    <s v="Pavithra R"/>
    <x v="0"/>
    <x v="0"/>
    <x v="3"/>
    <n v="3"/>
    <n v="1677"/>
    <n v="5031"/>
    <x v="4"/>
    <n v="5031"/>
  </r>
  <r>
    <s v="ORD0260"/>
    <d v="2026-10-22T00:00:00"/>
    <s v="Pavithra R"/>
    <x v="11"/>
    <x v="1"/>
    <x v="1"/>
    <n v="1"/>
    <n v="12695"/>
    <n v="12695"/>
    <x v="1"/>
    <n v="12695"/>
  </r>
  <r>
    <s v="ORD0261"/>
    <d v="2026-05-29T00:00:00"/>
    <s v="Divya M"/>
    <x v="2"/>
    <x v="1"/>
    <x v="2"/>
    <n v="6"/>
    <n v="15336"/>
    <n v="92016"/>
    <x v="0"/>
    <n v="92016"/>
  </r>
  <r>
    <s v="ORD0262"/>
    <d v="2026-11-13T00:00:00"/>
    <s v="Dinesh K"/>
    <x v="6"/>
    <x v="1"/>
    <x v="4"/>
    <n v="3"/>
    <n v="42637"/>
    <n v="127911"/>
    <x v="3"/>
    <n v="127911"/>
  </r>
  <r>
    <s v="ORD0263"/>
    <d v="2026-05-05T00:00:00"/>
    <s v="Pavithra R"/>
    <x v="8"/>
    <x v="1"/>
    <x v="1"/>
    <n v="4"/>
    <n v="23213"/>
    <n v="92852"/>
    <x v="0"/>
    <n v="92852"/>
  </r>
  <r>
    <s v="ORD0264"/>
    <d v="2026-06-08T00:00:00"/>
    <s v="Hari V"/>
    <x v="2"/>
    <x v="1"/>
    <x v="0"/>
    <n v="5"/>
    <n v="13989"/>
    <n v="69945"/>
    <x v="5"/>
    <n v="69945"/>
  </r>
  <r>
    <s v="ORD0265"/>
    <d v="2026-11-21T00:00:00"/>
    <s v="Divya M"/>
    <x v="5"/>
    <x v="3"/>
    <x v="1"/>
    <n v="2"/>
    <n v="746"/>
    <n v="1492"/>
    <x v="3"/>
    <n v="1492"/>
  </r>
  <r>
    <s v="ORD0266"/>
    <d v="2026-06-28T00:00:00"/>
    <s v="Keerthana S"/>
    <x v="7"/>
    <x v="2"/>
    <x v="0"/>
    <n v="2"/>
    <n v="9052"/>
    <n v="18104"/>
    <x v="5"/>
    <n v="18104"/>
  </r>
  <r>
    <s v="ORD0267"/>
    <d v="2026-04-12T00:00:00"/>
    <s v="Sneha K"/>
    <x v="4"/>
    <x v="3"/>
    <x v="1"/>
    <n v="1"/>
    <n v="2359"/>
    <n v="2359"/>
    <x v="2"/>
    <n v="2359"/>
  </r>
  <r>
    <s v="ORD0268"/>
    <d v="2026-11-18T00:00:00"/>
    <s v="Swetha P"/>
    <x v="1"/>
    <x v="1"/>
    <x v="2"/>
    <n v="6"/>
    <n v="16777"/>
    <n v="100662"/>
    <x v="3"/>
    <n v="100662"/>
  </r>
  <r>
    <s v="ORD0269"/>
    <d v="2026-10-17T00:00:00"/>
    <s v="Aishwarya K"/>
    <x v="3"/>
    <x v="2"/>
    <x v="4"/>
    <n v="5"/>
    <n v="6943"/>
    <n v="34715"/>
    <x v="1"/>
    <n v="34715"/>
  </r>
  <r>
    <s v="ORD0270"/>
    <d v="2026-02-04T00:00:00"/>
    <s v="Swetha P"/>
    <x v="0"/>
    <x v="0"/>
    <x v="2"/>
    <n v="3"/>
    <n v="1699"/>
    <n v="5097"/>
    <x v="9"/>
    <n v="5097"/>
  </r>
  <r>
    <s v="ORD0271"/>
    <d v="2026-10-30T00:00:00"/>
    <s v="Priya S"/>
    <x v="0"/>
    <x v="0"/>
    <x v="4"/>
    <n v="3"/>
    <n v="1885"/>
    <n v="5655"/>
    <x v="1"/>
    <n v="5655"/>
  </r>
  <r>
    <s v="ORD0272"/>
    <d v="2026-08-20T00:00:00"/>
    <s v="Priya S"/>
    <x v="7"/>
    <x v="2"/>
    <x v="3"/>
    <n v="1"/>
    <n v="8242"/>
    <n v="8242"/>
    <x v="10"/>
    <n v="8242"/>
  </r>
  <r>
    <s v="ORD0273"/>
    <d v="2026-02-16T00:00:00"/>
    <s v="Aishwarya K"/>
    <x v="5"/>
    <x v="3"/>
    <x v="1"/>
    <n v="3"/>
    <n v="746"/>
    <n v="2238"/>
    <x v="9"/>
    <n v="2238"/>
  </r>
  <r>
    <s v="ORD0274"/>
    <d v="2026-10-11T00:00:00"/>
    <s v="Priya S"/>
    <x v="7"/>
    <x v="2"/>
    <x v="2"/>
    <n v="4"/>
    <n v="8449"/>
    <n v="33796"/>
    <x v="1"/>
    <n v="33796"/>
  </r>
  <r>
    <s v="ORD0275"/>
    <d v="2026-11-06T00:00:00"/>
    <s v="Swetha P"/>
    <x v="3"/>
    <x v="2"/>
    <x v="1"/>
    <n v="6"/>
    <n v="6651"/>
    <n v="39906"/>
    <x v="3"/>
    <n v="39906"/>
  </r>
  <r>
    <s v="ORD0276"/>
    <d v="2026-06-25T00:00:00"/>
    <s v="Karthik R"/>
    <x v="1"/>
    <x v="1"/>
    <x v="1"/>
    <n v="1"/>
    <n v="17858"/>
    <n v="17858"/>
    <x v="5"/>
    <n v="17858"/>
  </r>
  <r>
    <s v="ORD0277"/>
    <d v="2026-12-29T00:00:00"/>
    <s v="Dinesh K"/>
    <x v="0"/>
    <x v="0"/>
    <x v="2"/>
    <n v="2"/>
    <n v="1667"/>
    <n v="3334"/>
    <x v="7"/>
    <n v="3334"/>
  </r>
  <r>
    <s v="ORD0278"/>
    <d v="2026-07-06T00:00:00"/>
    <s v="Keerthana S"/>
    <x v="7"/>
    <x v="2"/>
    <x v="4"/>
    <n v="5"/>
    <n v="8649"/>
    <n v="43245"/>
    <x v="8"/>
    <n v="43245"/>
  </r>
  <r>
    <s v="ORD0279"/>
    <d v="2026-12-14T00:00:00"/>
    <s v="Aishwarya K"/>
    <x v="2"/>
    <x v="1"/>
    <x v="3"/>
    <n v="4"/>
    <n v="15659"/>
    <n v="62636"/>
    <x v="7"/>
    <n v="62636"/>
  </r>
  <r>
    <s v="ORD0280"/>
    <d v="2026-06-18T00:00:00"/>
    <s v="Divya M"/>
    <x v="0"/>
    <x v="0"/>
    <x v="1"/>
    <n v="6"/>
    <n v="1752"/>
    <n v="10512"/>
    <x v="5"/>
    <n v="10512"/>
  </r>
  <r>
    <s v="ORD0281"/>
    <d v="2026-12-03T00:00:00"/>
    <s v="Aishwarya K"/>
    <x v="0"/>
    <x v="0"/>
    <x v="0"/>
    <n v="4"/>
    <n v="1738"/>
    <n v="6952"/>
    <x v="7"/>
    <n v="6952"/>
  </r>
  <r>
    <s v="ORD0282"/>
    <d v="2026-03-14T00:00:00"/>
    <s v="Keerthana S"/>
    <x v="5"/>
    <x v="3"/>
    <x v="4"/>
    <n v="1"/>
    <n v="811"/>
    <n v="811"/>
    <x v="6"/>
    <n v="811"/>
  </r>
  <r>
    <s v="ORD0283"/>
    <d v="2026-03-08T00:00:00"/>
    <s v="Aishwarya K"/>
    <x v="0"/>
    <x v="0"/>
    <x v="3"/>
    <n v="6"/>
    <n v="1847"/>
    <n v="11082"/>
    <x v="6"/>
    <n v="11082"/>
  </r>
  <r>
    <s v="ORD0284"/>
    <d v="2026-06-18T00:00:00"/>
    <s v="Rahul P"/>
    <x v="10"/>
    <x v="3"/>
    <x v="1"/>
    <n v="5"/>
    <n v="1176"/>
    <n v="5880"/>
    <x v="5"/>
    <n v="5880"/>
  </r>
  <r>
    <s v="ORD0285"/>
    <d v="2026-09-18T00:00:00"/>
    <s v="Keerthana S"/>
    <x v="8"/>
    <x v="1"/>
    <x v="3"/>
    <n v="6"/>
    <n v="22600"/>
    <n v="135600"/>
    <x v="11"/>
    <n v="135600"/>
  </r>
  <r>
    <s v="ORD0286"/>
    <d v="2026-04-20T00:00:00"/>
    <s v="Hari V"/>
    <x v="5"/>
    <x v="3"/>
    <x v="2"/>
    <n v="3"/>
    <n v="759"/>
    <n v="2277"/>
    <x v="2"/>
    <n v="2277"/>
  </r>
  <r>
    <s v="ORD0287"/>
    <d v="2026-03-21T00:00:00"/>
    <s v="Karthik R"/>
    <x v="4"/>
    <x v="3"/>
    <x v="4"/>
    <n v="2"/>
    <n v="2700"/>
    <n v="5400"/>
    <x v="6"/>
    <n v="5400"/>
  </r>
  <r>
    <s v="ORD0288"/>
    <d v="2026-09-27T00:00:00"/>
    <s v="Priya S"/>
    <x v="8"/>
    <x v="1"/>
    <x v="4"/>
    <n v="5"/>
    <n v="22953"/>
    <n v="114765"/>
    <x v="11"/>
    <n v="114765"/>
  </r>
  <r>
    <s v="ORD0289"/>
    <d v="2026-03-20T00:00:00"/>
    <s v="Sneha K"/>
    <x v="3"/>
    <x v="2"/>
    <x v="0"/>
    <n v="2"/>
    <n v="7109"/>
    <n v="14218"/>
    <x v="6"/>
    <n v="14218"/>
  </r>
  <r>
    <s v="ORD0290"/>
    <d v="2026-03-26T00:00:00"/>
    <s v="Dinesh K"/>
    <x v="9"/>
    <x v="4"/>
    <x v="3"/>
    <n v="5"/>
    <n v="262"/>
    <n v="1310"/>
    <x v="6"/>
    <n v="1310"/>
  </r>
  <r>
    <s v="ORD0291"/>
    <d v="2026-05-02T00:00:00"/>
    <s v="Dinesh K"/>
    <x v="2"/>
    <x v="1"/>
    <x v="1"/>
    <n v="3"/>
    <n v="15423"/>
    <n v="46269"/>
    <x v="0"/>
    <n v="46269"/>
  </r>
  <r>
    <s v="ORD0292"/>
    <d v="2026-04-30T00:00:00"/>
    <s v="Deepa S"/>
    <x v="10"/>
    <x v="3"/>
    <x v="0"/>
    <n v="6"/>
    <n v="1254"/>
    <n v="7524"/>
    <x v="2"/>
    <n v="7524"/>
  </r>
  <r>
    <s v="ORD0293"/>
    <d v="2026-04-10T00:00:00"/>
    <s v="Keerthana S"/>
    <x v="10"/>
    <x v="3"/>
    <x v="1"/>
    <n v="4"/>
    <n v="1278"/>
    <n v="5112"/>
    <x v="2"/>
    <n v="5112"/>
  </r>
  <r>
    <s v="ORD0294"/>
    <d v="2026-07-15T00:00:00"/>
    <s v="Gokul R"/>
    <x v="11"/>
    <x v="1"/>
    <x v="1"/>
    <n v="4"/>
    <n v="12517"/>
    <n v="50068"/>
    <x v="8"/>
    <n v="50068"/>
  </r>
  <r>
    <s v="ORD0295"/>
    <d v="2026-11-06T00:00:00"/>
    <s v="Rahul P"/>
    <x v="2"/>
    <x v="1"/>
    <x v="4"/>
    <n v="2"/>
    <n v="15761"/>
    <n v="31522"/>
    <x v="3"/>
    <n v="31522"/>
  </r>
  <r>
    <s v="ORD0296"/>
    <d v="2026-07-10T00:00:00"/>
    <s v="Deepa S"/>
    <x v="6"/>
    <x v="1"/>
    <x v="3"/>
    <n v="6"/>
    <n v="44860"/>
    <n v="269160"/>
    <x v="8"/>
    <n v="269160"/>
  </r>
  <r>
    <s v="ORD0297"/>
    <d v="2026-05-26T00:00:00"/>
    <s v="Karthik R"/>
    <x v="9"/>
    <x v="4"/>
    <x v="0"/>
    <n v="5"/>
    <n v="264"/>
    <n v="1320"/>
    <x v="0"/>
    <n v="1320"/>
  </r>
  <r>
    <s v="ORD0298"/>
    <d v="2026-03-17T00:00:00"/>
    <s v="Pavithra R"/>
    <x v="10"/>
    <x v="3"/>
    <x v="3"/>
    <n v="4"/>
    <n v="1278"/>
    <n v="5112"/>
    <x v="6"/>
    <n v="5112"/>
  </r>
  <r>
    <s v="ORD0299"/>
    <d v="2026-01-14T00:00:00"/>
    <s v="Pavithra R"/>
    <x v="4"/>
    <x v="3"/>
    <x v="3"/>
    <n v="4"/>
    <n v="2654"/>
    <n v="10616"/>
    <x v="4"/>
    <n v="10616"/>
  </r>
  <r>
    <s v="ORD0300"/>
    <d v="2026-07-17T00:00:00"/>
    <s v="Karthik R"/>
    <x v="2"/>
    <x v="1"/>
    <x v="4"/>
    <n v="5"/>
    <n v="14698"/>
    <n v="73490"/>
    <x v="8"/>
    <n v="73490"/>
  </r>
  <r>
    <s v="ORD0301"/>
    <d v="2026-02-20T00:00:00"/>
    <s v="Hari V"/>
    <x v="4"/>
    <x v="3"/>
    <x v="0"/>
    <n v="1"/>
    <n v="2427"/>
    <n v="2427"/>
    <x v="9"/>
    <n v="2427"/>
  </r>
  <r>
    <s v="ORD0302"/>
    <d v="2026-08-30T00:00:00"/>
    <s v="Rahul P"/>
    <x v="1"/>
    <x v="1"/>
    <x v="2"/>
    <n v="1"/>
    <n v="17386"/>
    <n v="17386"/>
    <x v="10"/>
    <n v="17386"/>
  </r>
  <r>
    <s v="ORD0303"/>
    <d v="2026-02-10T00:00:00"/>
    <s v="Arun Kumar"/>
    <x v="11"/>
    <x v="1"/>
    <x v="4"/>
    <n v="5"/>
    <n v="11050"/>
    <n v="55250"/>
    <x v="9"/>
    <n v="55250"/>
  </r>
  <r>
    <s v="ORD0304"/>
    <d v="2026-11-08T00:00:00"/>
    <s v="Gokul R"/>
    <x v="4"/>
    <x v="3"/>
    <x v="2"/>
    <n v="2"/>
    <n v="2520"/>
    <n v="5040"/>
    <x v="3"/>
    <n v="5040"/>
  </r>
  <r>
    <s v="ORD0305"/>
    <d v="2026-03-04T00:00:00"/>
    <s v="Priya S"/>
    <x v="8"/>
    <x v="1"/>
    <x v="0"/>
    <n v="3"/>
    <n v="21076"/>
    <n v="63228"/>
    <x v="6"/>
    <n v="63228"/>
  </r>
  <r>
    <s v="ORD0306"/>
    <d v="2026-08-23T00:00:00"/>
    <s v="Karthik R"/>
    <x v="2"/>
    <x v="1"/>
    <x v="3"/>
    <n v="6"/>
    <n v="15705"/>
    <n v="94230"/>
    <x v="10"/>
    <n v="94230"/>
  </r>
  <r>
    <s v="ORD0307"/>
    <d v="2026-11-20T00:00:00"/>
    <s v="Gokul R"/>
    <x v="11"/>
    <x v="1"/>
    <x v="1"/>
    <n v="5"/>
    <n v="12069"/>
    <n v="60345"/>
    <x v="3"/>
    <n v="60345"/>
  </r>
  <r>
    <s v="ORD0308"/>
    <d v="2026-08-08T00:00:00"/>
    <s v="Arun Kumar"/>
    <x v="4"/>
    <x v="3"/>
    <x v="1"/>
    <n v="6"/>
    <n v="2357"/>
    <n v="14142"/>
    <x v="10"/>
    <n v="14142"/>
  </r>
  <r>
    <s v="ORD0309"/>
    <d v="2026-04-06T00:00:00"/>
    <s v="Karthik R"/>
    <x v="5"/>
    <x v="3"/>
    <x v="1"/>
    <n v="2"/>
    <n v="809"/>
    <n v="1618"/>
    <x v="2"/>
    <n v="1618"/>
  </r>
  <r>
    <s v="ORD0310"/>
    <d v="2026-10-06T00:00:00"/>
    <s v="Gokul R"/>
    <x v="5"/>
    <x v="3"/>
    <x v="1"/>
    <n v="1"/>
    <n v="858"/>
    <n v="858"/>
    <x v="1"/>
    <n v="858"/>
  </r>
  <r>
    <s v="ORD0311"/>
    <d v="2026-08-29T00:00:00"/>
    <s v="Priya S"/>
    <x v="7"/>
    <x v="2"/>
    <x v="2"/>
    <n v="1"/>
    <n v="8351"/>
    <n v="8351"/>
    <x v="10"/>
    <n v="8351"/>
  </r>
  <r>
    <s v="ORD0312"/>
    <d v="2026-07-02T00:00:00"/>
    <s v="Karthik R"/>
    <x v="5"/>
    <x v="3"/>
    <x v="4"/>
    <n v="3"/>
    <n v="832"/>
    <n v="2496"/>
    <x v="8"/>
    <n v="2496"/>
  </r>
  <r>
    <s v="ORD0313"/>
    <d v="2026-02-23T00:00:00"/>
    <s v="Manoj V"/>
    <x v="4"/>
    <x v="3"/>
    <x v="4"/>
    <n v="6"/>
    <n v="2563"/>
    <n v="15378"/>
    <x v="9"/>
    <n v="15378"/>
  </r>
  <r>
    <s v="ORD0314"/>
    <d v="2026-06-23T00:00:00"/>
    <s v="Sneha K"/>
    <x v="1"/>
    <x v="1"/>
    <x v="2"/>
    <n v="1"/>
    <n v="17575"/>
    <n v="17575"/>
    <x v="5"/>
    <n v="17575"/>
  </r>
  <r>
    <s v="ORD0315"/>
    <d v="2026-03-11T00:00:00"/>
    <s v="Karthik R"/>
    <x v="9"/>
    <x v="4"/>
    <x v="2"/>
    <n v="4"/>
    <n v="255"/>
    <n v="1020"/>
    <x v="6"/>
    <n v="1020"/>
  </r>
  <r>
    <s v="ORD0316"/>
    <d v="2026-04-13T00:00:00"/>
    <s v="Priya S"/>
    <x v="6"/>
    <x v="1"/>
    <x v="4"/>
    <n v="3"/>
    <n v="42851"/>
    <n v="128553"/>
    <x v="2"/>
    <n v="128553"/>
  </r>
  <r>
    <s v="ORD0317"/>
    <d v="2026-10-06T00:00:00"/>
    <s v="Swetha P"/>
    <x v="10"/>
    <x v="3"/>
    <x v="4"/>
    <n v="5"/>
    <n v="1180"/>
    <n v="5900"/>
    <x v="1"/>
    <n v="5900"/>
  </r>
  <r>
    <s v="ORD0318"/>
    <d v="2026-07-02T00:00:00"/>
    <s v="Priya S"/>
    <x v="6"/>
    <x v="1"/>
    <x v="4"/>
    <n v="6"/>
    <n v="42776"/>
    <n v="256656"/>
    <x v="8"/>
    <n v="256656"/>
  </r>
  <r>
    <s v="ORD0319"/>
    <d v="2026-08-12T00:00:00"/>
    <s v="Naveen M"/>
    <x v="10"/>
    <x v="3"/>
    <x v="2"/>
    <n v="1"/>
    <n v="1257"/>
    <n v="1257"/>
    <x v="10"/>
    <n v="1257"/>
  </r>
  <r>
    <s v="ORD0320"/>
    <d v="2026-09-12T00:00:00"/>
    <s v="Swetha P"/>
    <x v="2"/>
    <x v="1"/>
    <x v="4"/>
    <n v="3"/>
    <n v="16137"/>
    <n v="48411"/>
    <x v="11"/>
    <n v="48411"/>
  </r>
  <r>
    <s v="ORD0321"/>
    <d v="2026-08-06T00:00:00"/>
    <s v="Karthik R"/>
    <x v="7"/>
    <x v="2"/>
    <x v="2"/>
    <n v="3"/>
    <n v="8910"/>
    <n v="26730"/>
    <x v="10"/>
    <n v="26730"/>
  </r>
  <r>
    <s v="ORD0322"/>
    <d v="2026-06-14T00:00:00"/>
    <s v="Divya M"/>
    <x v="3"/>
    <x v="2"/>
    <x v="3"/>
    <n v="2"/>
    <n v="7051"/>
    <n v="14102"/>
    <x v="5"/>
    <n v="14102"/>
  </r>
  <r>
    <s v="ORD0323"/>
    <d v="2026-08-17T00:00:00"/>
    <s v="Aishwarya K"/>
    <x v="5"/>
    <x v="3"/>
    <x v="2"/>
    <n v="6"/>
    <n v="774"/>
    <n v="4644"/>
    <x v="10"/>
    <n v="4644"/>
  </r>
  <r>
    <s v="ORD0324"/>
    <d v="2026-08-17T00:00:00"/>
    <s v="Priya S"/>
    <x v="1"/>
    <x v="1"/>
    <x v="4"/>
    <n v="6"/>
    <n v="17838"/>
    <n v="107028"/>
    <x v="10"/>
    <n v="107028"/>
  </r>
  <r>
    <s v="ORD0325"/>
    <d v="2026-01-30T00:00:00"/>
    <s v="Karthik R"/>
    <x v="3"/>
    <x v="2"/>
    <x v="2"/>
    <n v="4"/>
    <n v="6748"/>
    <n v="26992"/>
    <x v="4"/>
    <n v="26992"/>
  </r>
  <r>
    <s v="ORD0326"/>
    <d v="2026-12-14T00:00:00"/>
    <s v="Sneha K"/>
    <x v="5"/>
    <x v="3"/>
    <x v="3"/>
    <n v="5"/>
    <n v="839"/>
    <n v="4195"/>
    <x v="7"/>
    <n v="4195"/>
  </r>
  <r>
    <s v="ORD0327"/>
    <d v="2026-08-13T00:00:00"/>
    <s v="Priya S"/>
    <x v="1"/>
    <x v="1"/>
    <x v="0"/>
    <n v="5"/>
    <n v="18513"/>
    <n v="92565"/>
    <x v="10"/>
    <n v="92565"/>
  </r>
  <r>
    <s v="ORD0328"/>
    <d v="2026-07-07T00:00:00"/>
    <s v="Keerthana S"/>
    <x v="8"/>
    <x v="1"/>
    <x v="2"/>
    <n v="2"/>
    <n v="22980"/>
    <n v="45960"/>
    <x v="8"/>
    <n v="45960"/>
  </r>
  <r>
    <s v="ORD0329"/>
    <d v="2026-12-14T00:00:00"/>
    <s v="Dinesh K"/>
    <x v="3"/>
    <x v="2"/>
    <x v="4"/>
    <n v="1"/>
    <n v="7118"/>
    <n v="7118"/>
    <x v="7"/>
    <n v="7118"/>
  </r>
  <r>
    <s v="ORD0330"/>
    <d v="2026-10-21T00:00:00"/>
    <s v="Rahul P"/>
    <x v="5"/>
    <x v="3"/>
    <x v="1"/>
    <n v="4"/>
    <n v="834"/>
    <n v="3336"/>
    <x v="1"/>
    <n v="3336"/>
  </r>
  <r>
    <s v="ORD0331"/>
    <d v="2026-05-23T00:00:00"/>
    <s v="Meena R"/>
    <x v="5"/>
    <x v="3"/>
    <x v="3"/>
    <n v="4"/>
    <n v="776"/>
    <n v="3104"/>
    <x v="0"/>
    <n v="3104"/>
  </r>
  <r>
    <s v="ORD0332"/>
    <d v="2026-09-23T00:00:00"/>
    <s v="Naveen M"/>
    <x v="6"/>
    <x v="1"/>
    <x v="1"/>
    <n v="6"/>
    <n v="42740"/>
    <n v="256440"/>
    <x v="11"/>
    <n v="256440"/>
  </r>
  <r>
    <s v="ORD0333"/>
    <d v="2026-12-27T00:00:00"/>
    <s v="Dinesh K"/>
    <x v="8"/>
    <x v="1"/>
    <x v="0"/>
    <n v="3"/>
    <n v="22968"/>
    <n v="68904"/>
    <x v="7"/>
    <n v="68904"/>
  </r>
  <r>
    <s v="ORD0334"/>
    <d v="2026-09-09T00:00:00"/>
    <s v="Vijay S"/>
    <x v="3"/>
    <x v="2"/>
    <x v="3"/>
    <n v="3"/>
    <n v="7217"/>
    <n v="21651"/>
    <x v="11"/>
    <n v="21651"/>
  </r>
  <r>
    <s v="ORD0335"/>
    <d v="2026-08-16T00:00:00"/>
    <s v="Karthik R"/>
    <x v="1"/>
    <x v="1"/>
    <x v="4"/>
    <n v="1"/>
    <n v="17862"/>
    <n v="17862"/>
    <x v="10"/>
    <n v="17862"/>
  </r>
  <r>
    <s v="ORD0336"/>
    <d v="2026-10-09T00:00:00"/>
    <s v="Deepa S"/>
    <x v="0"/>
    <x v="0"/>
    <x v="4"/>
    <n v="3"/>
    <n v="1860"/>
    <n v="5580"/>
    <x v="1"/>
    <n v="5580"/>
  </r>
  <r>
    <s v="ORD0337"/>
    <d v="2026-12-25T00:00:00"/>
    <s v="Sneha K"/>
    <x v="10"/>
    <x v="3"/>
    <x v="4"/>
    <n v="2"/>
    <n v="1241"/>
    <n v="2482"/>
    <x v="7"/>
    <n v="2482"/>
  </r>
  <r>
    <s v="ORD0338"/>
    <d v="2026-04-13T00:00:00"/>
    <s v="Rahul P"/>
    <x v="7"/>
    <x v="2"/>
    <x v="0"/>
    <n v="2"/>
    <n v="7985"/>
    <n v="15970"/>
    <x v="2"/>
    <n v="15970"/>
  </r>
  <r>
    <s v="ORD0339"/>
    <d v="2026-10-21T00:00:00"/>
    <s v="Keerthana S"/>
    <x v="11"/>
    <x v="1"/>
    <x v="2"/>
    <n v="1"/>
    <n v="11733"/>
    <n v="11733"/>
    <x v="1"/>
    <n v="11733"/>
  </r>
  <r>
    <s v="ORD0340"/>
    <d v="2026-02-14T00:00:00"/>
    <s v="Karthik R"/>
    <x v="7"/>
    <x v="2"/>
    <x v="4"/>
    <n v="2"/>
    <n v="8652"/>
    <n v="17304"/>
    <x v="9"/>
    <n v="17304"/>
  </r>
  <r>
    <s v="ORD0341"/>
    <d v="2026-09-27T00:00:00"/>
    <s v="Pavithra R"/>
    <x v="2"/>
    <x v="1"/>
    <x v="2"/>
    <n v="6"/>
    <n v="15525"/>
    <n v="93150"/>
    <x v="11"/>
    <n v="93150"/>
  </r>
  <r>
    <s v="ORD0342"/>
    <d v="2026-06-12T00:00:00"/>
    <s v="Karthik R"/>
    <x v="3"/>
    <x v="2"/>
    <x v="2"/>
    <n v="1"/>
    <n v="6580"/>
    <n v="6580"/>
    <x v="5"/>
    <n v="6580"/>
  </r>
  <r>
    <s v="ORD0343"/>
    <d v="2026-03-07T00:00:00"/>
    <s v="Deepa S"/>
    <x v="11"/>
    <x v="1"/>
    <x v="1"/>
    <n v="6"/>
    <n v="12033"/>
    <n v="72198"/>
    <x v="6"/>
    <n v="72198"/>
  </r>
  <r>
    <s v="ORD0344"/>
    <d v="2026-01-29T00:00:00"/>
    <s v="Divya M"/>
    <x v="1"/>
    <x v="1"/>
    <x v="1"/>
    <n v="2"/>
    <n v="17806"/>
    <n v="35612"/>
    <x v="4"/>
    <n v="35612"/>
  </r>
  <r>
    <s v="ORD0345"/>
    <d v="2026-06-15T00:00:00"/>
    <s v="Meena R"/>
    <x v="1"/>
    <x v="1"/>
    <x v="4"/>
    <n v="3"/>
    <n v="17034"/>
    <n v="51102"/>
    <x v="5"/>
    <n v="51102"/>
  </r>
  <r>
    <s v="ORD0346"/>
    <d v="2026-05-09T00:00:00"/>
    <s v="Vijay S"/>
    <x v="7"/>
    <x v="2"/>
    <x v="1"/>
    <n v="3"/>
    <n v="8970"/>
    <n v="26910"/>
    <x v="0"/>
    <n v="26910"/>
  </r>
  <r>
    <s v="ORD0347"/>
    <d v="2026-11-11T00:00:00"/>
    <s v="Deepa S"/>
    <x v="10"/>
    <x v="3"/>
    <x v="3"/>
    <n v="2"/>
    <n v="1224"/>
    <n v="2448"/>
    <x v="3"/>
    <n v="2448"/>
  </r>
  <r>
    <s v="ORD0348"/>
    <d v="2026-10-25T00:00:00"/>
    <s v="Rahul P"/>
    <x v="7"/>
    <x v="2"/>
    <x v="0"/>
    <n v="6"/>
    <n v="8049"/>
    <n v="48294"/>
    <x v="1"/>
    <n v="48294"/>
  </r>
  <r>
    <s v="ORD0349"/>
    <d v="2026-11-06T00:00:00"/>
    <s v="Hari V"/>
    <x v="0"/>
    <x v="0"/>
    <x v="1"/>
    <n v="5"/>
    <n v="1864"/>
    <n v="9320"/>
    <x v="3"/>
    <n v="9320"/>
  </r>
  <r>
    <s v="ORD0350"/>
    <d v="2026-11-25T00:00:00"/>
    <s v="Manoj V"/>
    <x v="6"/>
    <x v="1"/>
    <x v="4"/>
    <n v="1"/>
    <n v="41985"/>
    <n v="41985"/>
    <x v="3"/>
    <n v="41985"/>
  </r>
  <r>
    <s v="ORD0351"/>
    <d v="2026-08-02T00:00:00"/>
    <s v="Aishwarya K"/>
    <x v="0"/>
    <x v="0"/>
    <x v="3"/>
    <n v="2"/>
    <n v="1877"/>
    <n v="3754"/>
    <x v="10"/>
    <n v="3754"/>
  </r>
  <r>
    <s v="ORD0352"/>
    <d v="2026-11-25T00:00:00"/>
    <s v="Anitha P"/>
    <x v="11"/>
    <x v="1"/>
    <x v="2"/>
    <n v="6"/>
    <n v="12088"/>
    <n v="72528"/>
    <x v="3"/>
    <n v="72528"/>
  </r>
  <r>
    <s v="ORD0353"/>
    <d v="2026-08-21T00:00:00"/>
    <s v="Karthik R"/>
    <x v="4"/>
    <x v="3"/>
    <x v="3"/>
    <n v="6"/>
    <n v="2462"/>
    <n v="14772"/>
    <x v="10"/>
    <n v="14772"/>
  </r>
  <r>
    <s v="ORD0354"/>
    <d v="2026-08-26T00:00:00"/>
    <s v="Vijay S"/>
    <x v="1"/>
    <x v="1"/>
    <x v="4"/>
    <n v="4"/>
    <n v="17757"/>
    <n v="71028"/>
    <x v="10"/>
    <n v="71028"/>
  </r>
  <r>
    <s v="ORD0355"/>
    <d v="2026-06-13T00:00:00"/>
    <s v="Keerthana S"/>
    <x v="3"/>
    <x v="2"/>
    <x v="2"/>
    <n v="2"/>
    <n v="6790"/>
    <n v="13580"/>
    <x v="5"/>
    <n v="13580"/>
  </r>
  <r>
    <s v="ORD0356"/>
    <d v="2026-02-24T00:00:00"/>
    <s v="Hari V"/>
    <x v="1"/>
    <x v="1"/>
    <x v="0"/>
    <n v="3"/>
    <n v="18043"/>
    <n v="54129"/>
    <x v="9"/>
    <n v="54129"/>
  </r>
  <r>
    <s v="ORD0357"/>
    <d v="2026-05-07T00:00:00"/>
    <s v="Rahul P"/>
    <x v="11"/>
    <x v="1"/>
    <x v="3"/>
    <n v="1"/>
    <n v="11554"/>
    <n v="11554"/>
    <x v="0"/>
    <n v="11554"/>
  </r>
  <r>
    <s v="ORD0358"/>
    <d v="2026-11-12T00:00:00"/>
    <s v="Pavithra R"/>
    <x v="6"/>
    <x v="1"/>
    <x v="0"/>
    <n v="3"/>
    <n v="48207"/>
    <n v="144621"/>
    <x v="3"/>
    <n v="144621"/>
  </r>
  <r>
    <s v="ORD0359"/>
    <d v="2026-06-10T00:00:00"/>
    <s v="Vijay S"/>
    <x v="1"/>
    <x v="1"/>
    <x v="0"/>
    <n v="3"/>
    <n v="19249"/>
    <n v="57747"/>
    <x v="5"/>
    <n v="57747"/>
  </r>
  <r>
    <s v="ORD0360"/>
    <d v="2026-06-07T00:00:00"/>
    <s v="Swetha P"/>
    <x v="11"/>
    <x v="1"/>
    <x v="3"/>
    <n v="5"/>
    <n v="11936"/>
    <n v="59680"/>
    <x v="5"/>
    <n v="59680"/>
  </r>
  <r>
    <s v="ORD0361"/>
    <d v="2026-05-04T00:00:00"/>
    <s v="Vijay S"/>
    <x v="8"/>
    <x v="1"/>
    <x v="1"/>
    <n v="4"/>
    <n v="22019"/>
    <n v="88076"/>
    <x v="0"/>
    <n v="88076"/>
  </r>
  <r>
    <s v="ORD0362"/>
    <d v="2026-09-11T00:00:00"/>
    <s v="Aishwarya K"/>
    <x v="5"/>
    <x v="3"/>
    <x v="2"/>
    <n v="1"/>
    <n v="742"/>
    <n v="742"/>
    <x v="11"/>
    <n v="742"/>
  </r>
  <r>
    <s v="ORD0363"/>
    <d v="2026-02-25T00:00:00"/>
    <s v="Pavithra R"/>
    <x v="10"/>
    <x v="3"/>
    <x v="0"/>
    <n v="5"/>
    <n v="1106"/>
    <n v="5530"/>
    <x v="9"/>
    <n v="5530"/>
  </r>
  <r>
    <s v="ORD0364"/>
    <d v="2026-07-26T00:00:00"/>
    <s v="Keerthana S"/>
    <x v="10"/>
    <x v="3"/>
    <x v="3"/>
    <n v="6"/>
    <n v="1174"/>
    <n v="7044"/>
    <x v="8"/>
    <n v="7044"/>
  </r>
  <r>
    <s v="ORD0365"/>
    <d v="2026-04-10T00:00:00"/>
    <s v="Keerthana S"/>
    <x v="2"/>
    <x v="1"/>
    <x v="1"/>
    <n v="1"/>
    <n v="15169"/>
    <n v="15169"/>
    <x v="2"/>
    <n v="15169"/>
  </r>
  <r>
    <s v="ORD0366"/>
    <d v="2026-08-19T00:00:00"/>
    <s v="Deepa S"/>
    <x v="10"/>
    <x v="3"/>
    <x v="4"/>
    <n v="1"/>
    <n v="1178"/>
    <n v="1178"/>
    <x v="10"/>
    <n v="1178"/>
  </r>
  <r>
    <s v="ORD0367"/>
    <d v="2026-03-07T00:00:00"/>
    <s v="Divya M"/>
    <x v="3"/>
    <x v="2"/>
    <x v="2"/>
    <n v="6"/>
    <n v="7124"/>
    <n v="42744"/>
    <x v="6"/>
    <n v="42744"/>
  </r>
  <r>
    <s v="ORD0368"/>
    <d v="2026-07-07T00:00:00"/>
    <s v="Rahul P"/>
    <x v="5"/>
    <x v="3"/>
    <x v="0"/>
    <n v="3"/>
    <n v="807"/>
    <n v="2421"/>
    <x v="8"/>
    <n v="2421"/>
  </r>
  <r>
    <s v="ORD0369"/>
    <d v="2026-01-21T00:00:00"/>
    <s v="Priya S"/>
    <x v="3"/>
    <x v="2"/>
    <x v="3"/>
    <n v="5"/>
    <n v="6890"/>
    <n v="34450"/>
    <x v="4"/>
    <n v="34450"/>
  </r>
  <r>
    <s v="ORD0370"/>
    <d v="2026-08-31T00:00:00"/>
    <s v="Gokul R"/>
    <x v="1"/>
    <x v="1"/>
    <x v="2"/>
    <n v="6"/>
    <n v="17519"/>
    <n v="105114"/>
    <x v="10"/>
    <n v="105114"/>
  </r>
  <r>
    <s v="ORD0371"/>
    <d v="2026-03-13T00:00:00"/>
    <s v="Hari V"/>
    <x v="1"/>
    <x v="1"/>
    <x v="1"/>
    <n v="5"/>
    <n v="19132"/>
    <n v="95660"/>
    <x v="6"/>
    <n v="95660"/>
  </r>
  <r>
    <s v="ORD0372"/>
    <d v="2026-11-12T00:00:00"/>
    <s v="Anitha P"/>
    <x v="5"/>
    <x v="3"/>
    <x v="1"/>
    <n v="2"/>
    <n v="786"/>
    <n v="1572"/>
    <x v="3"/>
    <n v="1572"/>
  </r>
  <r>
    <s v="ORD0373"/>
    <d v="2026-09-30T00:00:00"/>
    <s v="Swetha P"/>
    <x v="5"/>
    <x v="3"/>
    <x v="1"/>
    <n v="5"/>
    <n v="842"/>
    <n v="4210"/>
    <x v="11"/>
    <n v="4210"/>
  </r>
  <r>
    <s v="ORD0374"/>
    <d v="2026-07-08T00:00:00"/>
    <s v="Hari V"/>
    <x v="10"/>
    <x v="3"/>
    <x v="3"/>
    <n v="4"/>
    <n v="1261"/>
    <n v="5044"/>
    <x v="8"/>
    <n v="5044"/>
  </r>
  <r>
    <s v="ORD0375"/>
    <d v="2026-12-19T00:00:00"/>
    <s v="Arun Kumar"/>
    <x v="2"/>
    <x v="1"/>
    <x v="1"/>
    <n v="5"/>
    <n v="14538"/>
    <n v="72690"/>
    <x v="7"/>
    <n v="72690"/>
  </r>
  <r>
    <s v="ORD0376"/>
    <d v="2026-10-24T00:00:00"/>
    <s v="Manoj V"/>
    <x v="11"/>
    <x v="1"/>
    <x v="0"/>
    <n v="3"/>
    <n v="12897"/>
    <n v="38691"/>
    <x v="1"/>
    <n v="38691"/>
  </r>
  <r>
    <s v="ORD0377"/>
    <d v="2026-03-29T00:00:00"/>
    <s v="Gokul R"/>
    <x v="9"/>
    <x v="4"/>
    <x v="1"/>
    <n v="1"/>
    <n v="253"/>
    <n v="253"/>
    <x v="6"/>
    <n v="253"/>
  </r>
  <r>
    <s v="ORD0378"/>
    <d v="2026-05-05T00:00:00"/>
    <s v="Priya S"/>
    <x v="2"/>
    <x v="1"/>
    <x v="1"/>
    <n v="2"/>
    <n v="15772"/>
    <n v="31544"/>
    <x v="0"/>
    <n v="31544"/>
  </r>
  <r>
    <s v="ORD0379"/>
    <d v="2026-08-14T00:00:00"/>
    <s v="Hari V"/>
    <x v="9"/>
    <x v="4"/>
    <x v="2"/>
    <n v="1"/>
    <n v="238"/>
    <n v="238"/>
    <x v="10"/>
    <n v="238"/>
  </r>
  <r>
    <s v="ORD0380"/>
    <d v="2026-07-30T00:00:00"/>
    <s v="Gokul R"/>
    <x v="1"/>
    <x v="1"/>
    <x v="1"/>
    <n v="4"/>
    <n v="18549"/>
    <n v="74196"/>
    <x v="8"/>
    <n v="74196"/>
  </r>
  <r>
    <s v="ORD0381"/>
    <d v="2026-12-28T00:00:00"/>
    <s v="Rahul P"/>
    <x v="11"/>
    <x v="1"/>
    <x v="1"/>
    <n v="6"/>
    <n v="12437"/>
    <n v="74622"/>
    <x v="7"/>
    <n v="74622"/>
  </r>
  <r>
    <s v="ORD0382"/>
    <d v="2026-12-06T00:00:00"/>
    <s v="Swetha P"/>
    <x v="4"/>
    <x v="3"/>
    <x v="1"/>
    <n v="5"/>
    <n v="2430"/>
    <n v="12150"/>
    <x v="7"/>
    <n v="12150"/>
  </r>
  <r>
    <s v="ORD0383"/>
    <d v="2026-08-24T00:00:00"/>
    <s v="Deepa S"/>
    <x v="2"/>
    <x v="1"/>
    <x v="4"/>
    <n v="3"/>
    <n v="16096"/>
    <n v="48288"/>
    <x v="10"/>
    <n v="48288"/>
  </r>
  <r>
    <s v="ORD0384"/>
    <d v="2026-12-15T00:00:00"/>
    <s v="Suresh K"/>
    <x v="7"/>
    <x v="2"/>
    <x v="1"/>
    <n v="3"/>
    <n v="8739"/>
    <n v="26217"/>
    <x v="7"/>
    <n v="26217"/>
  </r>
  <r>
    <s v="ORD0385"/>
    <d v="2026-05-23T00:00:00"/>
    <s v="Deepa S"/>
    <x v="11"/>
    <x v="1"/>
    <x v="4"/>
    <n v="2"/>
    <n v="12878"/>
    <n v="25756"/>
    <x v="0"/>
    <n v="25756"/>
  </r>
  <r>
    <s v="ORD0386"/>
    <d v="2026-12-27T00:00:00"/>
    <s v="Vijay S"/>
    <x v="4"/>
    <x v="3"/>
    <x v="2"/>
    <n v="3"/>
    <n v="2608"/>
    <n v="7824"/>
    <x v="7"/>
    <n v="7824"/>
  </r>
  <r>
    <s v="ORD0387"/>
    <d v="2026-05-21T00:00:00"/>
    <s v="Anitha P"/>
    <x v="5"/>
    <x v="3"/>
    <x v="3"/>
    <n v="4"/>
    <n v="781"/>
    <n v="3124"/>
    <x v="0"/>
    <n v="3124"/>
  </r>
  <r>
    <s v="ORD0388"/>
    <d v="2026-07-22T00:00:00"/>
    <s v="Keerthana S"/>
    <x v="3"/>
    <x v="2"/>
    <x v="0"/>
    <n v="6"/>
    <n v="7048"/>
    <n v="42288"/>
    <x v="8"/>
    <n v="42288"/>
  </r>
  <r>
    <s v="ORD0389"/>
    <d v="2026-02-10T00:00:00"/>
    <s v="Keerthana S"/>
    <x v="10"/>
    <x v="3"/>
    <x v="2"/>
    <n v="1"/>
    <n v="1159"/>
    <n v="1159"/>
    <x v="9"/>
    <n v="1159"/>
  </r>
  <r>
    <s v="ORD0390"/>
    <d v="2026-04-20T00:00:00"/>
    <s v="Vijay S"/>
    <x v="0"/>
    <x v="0"/>
    <x v="1"/>
    <n v="3"/>
    <n v="1871"/>
    <n v="5613"/>
    <x v="2"/>
    <n v="5613"/>
  </r>
  <r>
    <s v="ORD0391"/>
    <d v="2026-03-12T00:00:00"/>
    <s v="Divya M"/>
    <x v="10"/>
    <x v="3"/>
    <x v="1"/>
    <n v="5"/>
    <n v="1238"/>
    <n v="6190"/>
    <x v="6"/>
    <n v="6190"/>
  </r>
  <r>
    <s v="ORD0392"/>
    <d v="2026-01-26T00:00:00"/>
    <s v="Gokul R"/>
    <x v="9"/>
    <x v="4"/>
    <x v="0"/>
    <n v="5"/>
    <n v="240"/>
    <n v="1200"/>
    <x v="4"/>
    <n v="1200"/>
  </r>
  <r>
    <s v="ORD0393"/>
    <d v="2026-07-31T00:00:00"/>
    <s v="Hari V"/>
    <x v="0"/>
    <x v="0"/>
    <x v="2"/>
    <n v="2"/>
    <n v="1671"/>
    <n v="3342"/>
    <x v="8"/>
    <n v="3342"/>
  </r>
  <r>
    <s v="ORD0394"/>
    <d v="2026-01-03T00:00:00"/>
    <s v="Deepa S"/>
    <x v="8"/>
    <x v="1"/>
    <x v="0"/>
    <n v="6"/>
    <n v="22953"/>
    <n v="137718"/>
    <x v="4"/>
    <n v="137718"/>
  </r>
  <r>
    <s v="ORD0395"/>
    <d v="2026-09-01T00:00:00"/>
    <s v="Swetha P"/>
    <x v="2"/>
    <x v="1"/>
    <x v="0"/>
    <n v="6"/>
    <n v="16044"/>
    <n v="96264"/>
    <x v="11"/>
    <n v="96264"/>
  </r>
  <r>
    <s v="ORD0396"/>
    <d v="2026-01-31T00:00:00"/>
    <s v="Karthik R"/>
    <x v="10"/>
    <x v="3"/>
    <x v="1"/>
    <n v="3"/>
    <n v="1159"/>
    <n v="3477"/>
    <x v="4"/>
    <n v="3477"/>
  </r>
  <r>
    <s v="ORD0397"/>
    <d v="2026-01-20T00:00:00"/>
    <s v="Sneha K"/>
    <x v="4"/>
    <x v="3"/>
    <x v="2"/>
    <n v="5"/>
    <n v="2595"/>
    <n v="12975"/>
    <x v="4"/>
    <n v="12975"/>
  </r>
  <r>
    <s v="ORD0398"/>
    <d v="2026-07-23T00:00:00"/>
    <s v="Swetha P"/>
    <x v="1"/>
    <x v="1"/>
    <x v="0"/>
    <n v="1"/>
    <n v="19432"/>
    <n v="19432"/>
    <x v="8"/>
    <n v="19432"/>
  </r>
  <r>
    <s v="ORD0399"/>
    <d v="2026-01-05T00:00:00"/>
    <s v="Anitha P"/>
    <x v="9"/>
    <x v="4"/>
    <x v="1"/>
    <n v="3"/>
    <n v="265"/>
    <n v="795"/>
    <x v="4"/>
    <n v="795"/>
  </r>
  <r>
    <s v="ORD0400"/>
    <d v="2026-06-21T00:00:00"/>
    <s v="Anitha P"/>
    <x v="3"/>
    <x v="2"/>
    <x v="2"/>
    <n v="1"/>
    <n v="7480"/>
    <n v="7480"/>
    <x v="5"/>
    <n v="7480"/>
  </r>
  <r>
    <s v="ORD0401"/>
    <d v="2026-03-10T00:00:00"/>
    <s v="Gokul R"/>
    <x v="0"/>
    <x v="0"/>
    <x v="2"/>
    <n v="5"/>
    <n v="1807"/>
    <n v="9035"/>
    <x v="6"/>
    <n v="9035"/>
  </r>
  <r>
    <s v="ORD0402"/>
    <d v="2026-06-19T00:00:00"/>
    <s v="Sneha K"/>
    <x v="10"/>
    <x v="3"/>
    <x v="2"/>
    <n v="2"/>
    <n v="1259"/>
    <n v="2518"/>
    <x v="5"/>
    <n v="2518"/>
  </r>
  <r>
    <s v="ORD0403"/>
    <d v="2026-01-08T00:00:00"/>
    <s v="Hari V"/>
    <x v="0"/>
    <x v="0"/>
    <x v="4"/>
    <n v="3"/>
    <n v="1863"/>
    <n v="5589"/>
    <x v="4"/>
    <n v="5589"/>
  </r>
  <r>
    <s v="ORD0404"/>
    <d v="2026-03-31T00:00:00"/>
    <s v="Aishwarya K"/>
    <x v="3"/>
    <x v="2"/>
    <x v="2"/>
    <n v="6"/>
    <n v="7288"/>
    <n v="43728"/>
    <x v="6"/>
    <n v="43728"/>
  </r>
  <r>
    <s v="ORD0405"/>
    <d v="2026-07-25T00:00:00"/>
    <s v="Divya M"/>
    <x v="2"/>
    <x v="1"/>
    <x v="0"/>
    <n v="5"/>
    <n v="14587"/>
    <n v="72935"/>
    <x v="8"/>
    <n v="72935"/>
  </r>
  <r>
    <s v="ORD0406"/>
    <d v="2026-05-08T00:00:00"/>
    <s v="Arun Kumar"/>
    <x v="1"/>
    <x v="1"/>
    <x v="4"/>
    <n v="4"/>
    <n v="17492"/>
    <n v="69968"/>
    <x v="0"/>
    <n v="69968"/>
  </r>
  <r>
    <s v="ORD0407"/>
    <d v="2026-05-17T00:00:00"/>
    <s v="Hari V"/>
    <x v="2"/>
    <x v="1"/>
    <x v="4"/>
    <n v="2"/>
    <n v="14872"/>
    <n v="29744"/>
    <x v="0"/>
    <n v="29744"/>
  </r>
  <r>
    <s v="ORD0408"/>
    <d v="2026-05-14T00:00:00"/>
    <s v="Keerthana S"/>
    <x v="3"/>
    <x v="2"/>
    <x v="0"/>
    <n v="6"/>
    <n v="7082"/>
    <n v="42492"/>
    <x v="0"/>
    <n v="42492"/>
  </r>
  <r>
    <s v="ORD0409"/>
    <d v="2026-06-07T00:00:00"/>
    <s v="Sneha K"/>
    <x v="6"/>
    <x v="1"/>
    <x v="2"/>
    <n v="6"/>
    <n v="42251"/>
    <n v="253506"/>
    <x v="5"/>
    <n v="253506"/>
  </r>
  <r>
    <s v="ORD0410"/>
    <d v="2026-12-27T00:00:00"/>
    <s v="Anitha P"/>
    <x v="0"/>
    <x v="0"/>
    <x v="3"/>
    <n v="5"/>
    <n v="1922"/>
    <n v="9610"/>
    <x v="7"/>
    <n v="9610"/>
  </r>
  <r>
    <s v="ORD0411"/>
    <d v="2026-04-24T00:00:00"/>
    <s v="Meena R"/>
    <x v="0"/>
    <x v="0"/>
    <x v="0"/>
    <n v="3"/>
    <n v="1762"/>
    <n v="5286"/>
    <x v="2"/>
    <n v="5286"/>
  </r>
  <r>
    <s v="ORD0412"/>
    <d v="2026-11-07T00:00:00"/>
    <s v="Keerthana S"/>
    <x v="11"/>
    <x v="1"/>
    <x v="2"/>
    <n v="2"/>
    <n v="11914"/>
    <n v="23828"/>
    <x v="3"/>
    <n v="23828"/>
  </r>
  <r>
    <s v="ORD0413"/>
    <d v="2026-10-03T00:00:00"/>
    <s v="Vijay S"/>
    <x v="9"/>
    <x v="4"/>
    <x v="0"/>
    <n v="5"/>
    <n v="267"/>
    <n v="1335"/>
    <x v="1"/>
    <n v="1335"/>
  </r>
  <r>
    <s v="ORD0414"/>
    <d v="2026-02-11T00:00:00"/>
    <s v="Gokul R"/>
    <x v="0"/>
    <x v="0"/>
    <x v="2"/>
    <n v="5"/>
    <n v="1907"/>
    <n v="9535"/>
    <x v="9"/>
    <n v="9535"/>
  </r>
  <r>
    <s v="ORD0415"/>
    <d v="2026-10-16T00:00:00"/>
    <s v="Divya M"/>
    <x v="7"/>
    <x v="2"/>
    <x v="3"/>
    <n v="6"/>
    <n v="8312"/>
    <n v="49872"/>
    <x v="1"/>
    <n v="49872"/>
  </r>
  <r>
    <s v="ORD0416"/>
    <d v="2026-10-02T00:00:00"/>
    <s v="Rahul P"/>
    <x v="7"/>
    <x v="2"/>
    <x v="0"/>
    <n v="5"/>
    <n v="8095"/>
    <n v="40475"/>
    <x v="1"/>
    <n v="40475"/>
  </r>
  <r>
    <s v="ORD0417"/>
    <d v="2026-12-15T00:00:00"/>
    <s v="Vijay S"/>
    <x v="5"/>
    <x v="3"/>
    <x v="1"/>
    <n v="5"/>
    <n v="793"/>
    <n v="3965"/>
    <x v="7"/>
    <n v="3965"/>
  </r>
  <r>
    <s v="ORD0418"/>
    <d v="2026-08-17T00:00:00"/>
    <s v="Priya S"/>
    <x v="11"/>
    <x v="1"/>
    <x v="2"/>
    <n v="1"/>
    <n v="12766"/>
    <n v="12766"/>
    <x v="10"/>
    <n v="12766"/>
  </r>
  <r>
    <s v="ORD0419"/>
    <d v="2026-10-16T00:00:00"/>
    <s v="Priya S"/>
    <x v="1"/>
    <x v="1"/>
    <x v="1"/>
    <n v="5"/>
    <n v="17756"/>
    <n v="88780"/>
    <x v="1"/>
    <n v="88780"/>
  </r>
  <r>
    <s v="ORD0420"/>
    <d v="2026-01-12T00:00:00"/>
    <s v="Naveen M"/>
    <x v="11"/>
    <x v="1"/>
    <x v="4"/>
    <n v="6"/>
    <n v="12589"/>
    <n v="75534"/>
    <x v="4"/>
    <n v="75534"/>
  </r>
  <r>
    <s v="ORD0421"/>
    <d v="2026-02-07T00:00:00"/>
    <s v="Priya S"/>
    <x v="6"/>
    <x v="1"/>
    <x v="2"/>
    <n v="6"/>
    <n v="42969"/>
    <n v="257814"/>
    <x v="9"/>
    <n v="257814"/>
  </r>
  <r>
    <s v="ORD0422"/>
    <d v="2026-01-31T00:00:00"/>
    <s v="Karthik R"/>
    <x v="5"/>
    <x v="3"/>
    <x v="2"/>
    <n v="6"/>
    <n v="744"/>
    <n v="4464"/>
    <x v="4"/>
    <n v="4464"/>
  </r>
  <r>
    <s v="ORD0423"/>
    <d v="2026-03-11T00:00:00"/>
    <s v="Pavithra R"/>
    <x v="6"/>
    <x v="1"/>
    <x v="4"/>
    <n v="3"/>
    <n v="44344"/>
    <n v="133032"/>
    <x v="6"/>
    <n v="133032"/>
  </r>
  <r>
    <s v="ORD0424"/>
    <d v="2026-07-13T00:00:00"/>
    <s v="Naveen M"/>
    <x v="2"/>
    <x v="1"/>
    <x v="3"/>
    <n v="4"/>
    <n v="15887"/>
    <n v="63548"/>
    <x v="8"/>
    <n v="63548"/>
  </r>
  <r>
    <s v="ORD0425"/>
    <d v="2026-03-10T00:00:00"/>
    <s v="Keerthana S"/>
    <x v="0"/>
    <x v="0"/>
    <x v="3"/>
    <n v="6"/>
    <n v="1908"/>
    <n v="11448"/>
    <x v="6"/>
    <n v="11448"/>
  </r>
  <r>
    <s v="ORD0426"/>
    <d v="2026-03-07T00:00:00"/>
    <s v="Meena R"/>
    <x v="1"/>
    <x v="1"/>
    <x v="3"/>
    <n v="5"/>
    <n v="17692"/>
    <n v="88460"/>
    <x v="6"/>
    <n v="88460"/>
  </r>
  <r>
    <s v="ORD0427"/>
    <d v="2026-10-06T00:00:00"/>
    <s v="Pavithra R"/>
    <x v="6"/>
    <x v="1"/>
    <x v="1"/>
    <n v="3"/>
    <n v="44734"/>
    <n v="134202"/>
    <x v="1"/>
    <n v="134202"/>
  </r>
  <r>
    <s v="ORD0428"/>
    <d v="2026-06-27T00:00:00"/>
    <s v="Rahul P"/>
    <x v="2"/>
    <x v="1"/>
    <x v="4"/>
    <n v="2"/>
    <n v="14394"/>
    <n v="28788"/>
    <x v="5"/>
    <n v="28788"/>
  </r>
  <r>
    <s v="ORD0429"/>
    <d v="2026-01-17T00:00:00"/>
    <s v="Pavithra R"/>
    <x v="4"/>
    <x v="3"/>
    <x v="1"/>
    <n v="6"/>
    <n v="2606"/>
    <n v="15636"/>
    <x v="4"/>
    <n v="15636"/>
  </r>
  <r>
    <s v="ORD0430"/>
    <d v="2026-02-21T00:00:00"/>
    <s v="Aishwarya K"/>
    <x v="6"/>
    <x v="1"/>
    <x v="3"/>
    <n v="2"/>
    <n v="42884"/>
    <n v="85768"/>
    <x v="9"/>
    <n v="85768"/>
  </r>
  <r>
    <s v="ORD0431"/>
    <d v="2026-01-25T00:00:00"/>
    <s v="Meena R"/>
    <x v="11"/>
    <x v="1"/>
    <x v="3"/>
    <n v="5"/>
    <n v="12330"/>
    <n v="61650"/>
    <x v="4"/>
    <n v="61650"/>
  </r>
  <r>
    <s v="ORD0432"/>
    <d v="2026-04-22T00:00:00"/>
    <s v="Priya S"/>
    <x v="2"/>
    <x v="1"/>
    <x v="0"/>
    <n v="4"/>
    <n v="14362"/>
    <n v="57448"/>
    <x v="2"/>
    <n v="57448"/>
  </r>
  <r>
    <s v="ORD0433"/>
    <d v="2026-10-22T00:00:00"/>
    <s v="Hari V"/>
    <x v="7"/>
    <x v="2"/>
    <x v="1"/>
    <n v="3"/>
    <n v="8138"/>
    <n v="24414"/>
    <x v="1"/>
    <n v="24414"/>
  </r>
  <r>
    <s v="ORD0434"/>
    <d v="2026-05-02T00:00:00"/>
    <s v="Anitha P"/>
    <x v="3"/>
    <x v="2"/>
    <x v="0"/>
    <n v="6"/>
    <n v="7357"/>
    <n v="44142"/>
    <x v="0"/>
    <n v="44142"/>
  </r>
  <r>
    <s v="ORD0435"/>
    <d v="2026-06-03T00:00:00"/>
    <s v="Suresh K"/>
    <x v="0"/>
    <x v="0"/>
    <x v="3"/>
    <n v="5"/>
    <n v="1720"/>
    <n v="8600"/>
    <x v="5"/>
    <n v="8600"/>
  </r>
  <r>
    <s v="ORD0436"/>
    <d v="2026-03-31T00:00:00"/>
    <s v="Pavithra R"/>
    <x v="7"/>
    <x v="2"/>
    <x v="1"/>
    <n v="5"/>
    <n v="9016"/>
    <n v="45080"/>
    <x v="6"/>
    <n v="45080"/>
  </r>
  <r>
    <s v="ORD0437"/>
    <d v="2026-11-26T00:00:00"/>
    <s v="Naveen M"/>
    <x v="11"/>
    <x v="1"/>
    <x v="1"/>
    <n v="1"/>
    <n v="12907"/>
    <n v="12907"/>
    <x v="3"/>
    <n v="12907"/>
  </r>
  <r>
    <s v="ORD0438"/>
    <d v="2026-03-18T00:00:00"/>
    <s v="Anitha P"/>
    <x v="5"/>
    <x v="3"/>
    <x v="2"/>
    <n v="6"/>
    <n v="789"/>
    <n v="4734"/>
    <x v="6"/>
    <n v="4734"/>
  </r>
  <r>
    <s v="ORD0439"/>
    <d v="2026-04-26T00:00:00"/>
    <s v="Anitha P"/>
    <x v="1"/>
    <x v="1"/>
    <x v="0"/>
    <n v="5"/>
    <n v="17924"/>
    <n v="89620"/>
    <x v="2"/>
    <n v="89620"/>
  </r>
  <r>
    <s v="ORD0440"/>
    <d v="2026-08-02T00:00:00"/>
    <s v="Deepa S"/>
    <x v="11"/>
    <x v="1"/>
    <x v="1"/>
    <n v="1"/>
    <n v="12120"/>
    <n v="12120"/>
    <x v="10"/>
    <n v="12120"/>
  </r>
  <r>
    <s v="ORD0441"/>
    <d v="2026-04-15T00:00:00"/>
    <s v="Hari V"/>
    <x v="1"/>
    <x v="1"/>
    <x v="3"/>
    <n v="4"/>
    <n v="17259"/>
    <n v="69036"/>
    <x v="2"/>
    <n v="69036"/>
  </r>
  <r>
    <s v="ORD0442"/>
    <d v="2026-04-08T00:00:00"/>
    <s v="Priya S"/>
    <x v="11"/>
    <x v="1"/>
    <x v="4"/>
    <n v="3"/>
    <n v="11218"/>
    <n v="33654"/>
    <x v="2"/>
    <n v="33654"/>
  </r>
  <r>
    <s v="ORD0443"/>
    <d v="2026-01-21T00:00:00"/>
    <s v="Karthik R"/>
    <x v="2"/>
    <x v="1"/>
    <x v="0"/>
    <n v="6"/>
    <n v="15252"/>
    <n v="91512"/>
    <x v="4"/>
    <n v="91512"/>
  </r>
  <r>
    <s v="ORD0444"/>
    <d v="2026-04-22T00:00:00"/>
    <s v="Swetha P"/>
    <x v="3"/>
    <x v="2"/>
    <x v="0"/>
    <n v="6"/>
    <n v="7192"/>
    <n v="43152"/>
    <x v="2"/>
    <n v="43152"/>
  </r>
  <r>
    <s v="ORD0445"/>
    <d v="2026-01-08T00:00:00"/>
    <s v="Vijay S"/>
    <x v="5"/>
    <x v="3"/>
    <x v="0"/>
    <n v="3"/>
    <n v="858"/>
    <n v="2574"/>
    <x v="4"/>
    <n v="2574"/>
  </r>
  <r>
    <s v="ORD0446"/>
    <d v="2026-09-03T00:00:00"/>
    <s v="Meena R"/>
    <x v="9"/>
    <x v="4"/>
    <x v="1"/>
    <n v="1"/>
    <n v="260"/>
    <n v="260"/>
    <x v="11"/>
    <n v="260"/>
  </r>
  <r>
    <s v="ORD0447"/>
    <d v="2026-05-03T00:00:00"/>
    <s v="Deepa S"/>
    <x v="9"/>
    <x v="4"/>
    <x v="4"/>
    <n v="2"/>
    <n v="246"/>
    <n v="492"/>
    <x v="0"/>
    <n v="492"/>
  </r>
  <r>
    <s v="ORD0448"/>
    <d v="2026-11-29T00:00:00"/>
    <s v="Keerthana S"/>
    <x v="10"/>
    <x v="3"/>
    <x v="4"/>
    <n v="4"/>
    <n v="1194"/>
    <n v="4776"/>
    <x v="3"/>
    <n v="4776"/>
  </r>
  <r>
    <s v="ORD0449"/>
    <d v="2026-09-12T00:00:00"/>
    <s v="Dinesh K"/>
    <x v="10"/>
    <x v="3"/>
    <x v="3"/>
    <n v="3"/>
    <n v="1202"/>
    <n v="3606"/>
    <x v="11"/>
    <n v="3606"/>
  </r>
  <r>
    <s v="ORD0450"/>
    <d v="2026-06-13T00:00:00"/>
    <s v="Vijay S"/>
    <x v="9"/>
    <x v="4"/>
    <x v="4"/>
    <n v="4"/>
    <n v="260"/>
    <n v="1040"/>
    <x v="5"/>
    <n v="1040"/>
  </r>
  <r>
    <s v="ORD0451"/>
    <d v="2026-04-24T00:00:00"/>
    <s v="Rahul P"/>
    <x v="5"/>
    <x v="3"/>
    <x v="3"/>
    <n v="4"/>
    <n v="742"/>
    <n v="2968"/>
    <x v="2"/>
    <n v="2968"/>
  </r>
  <r>
    <s v="ORD0452"/>
    <d v="2026-10-24T00:00:00"/>
    <s v="Pavithra R"/>
    <x v="10"/>
    <x v="3"/>
    <x v="4"/>
    <n v="5"/>
    <n v="1283"/>
    <n v="6415"/>
    <x v="1"/>
    <n v="6415"/>
  </r>
  <r>
    <s v="ORD0453"/>
    <d v="2026-07-14T00:00:00"/>
    <s v="Manoj V"/>
    <x v="1"/>
    <x v="1"/>
    <x v="0"/>
    <n v="2"/>
    <n v="17510"/>
    <n v="35020"/>
    <x v="8"/>
    <n v="35020"/>
  </r>
  <r>
    <s v="ORD0454"/>
    <d v="2026-12-17T00:00:00"/>
    <s v="Hari V"/>
    <x v="11"/>
    <x v="1"/>
    <x v="4"/>
    <n v="5"/>
    <n v="12297"/>
    <n v="61485"/>
    <x v="7"/>
    <n v="61485"/>
  </r>
  <r>
    <s v="ORD0455"/>
    <d v="2026-09-09T00:00:00"/>
    <s v="Dinesh K"/>
    <x v="11"/>
    <x v="1"/>
    <x v="0"/>
    <n v="6"/>
    <n v="12272"/>
    <n v="73632"/>
    <x v="11"/>
    <n v="73632"/>
  </r>
  <r>
    <s v="ORD0456"/>
    <d v="2026-10-07T00:00:00"/>
    <s v="Swetha P"/>
    <x v="9"/>
    <x v="4"/>
    <x v="0"/>
    <n v="3"/>
    <n v="237"/>
    <n v="711"/>
    <x v="1"/>
    <n v="711"/>
  </r>
  <r>
    <s v="ORD0457"/>
    <d v="2026-09-26T00:00:00"/>
    <s v="Priya S"/>
    <x v="7"/>
    <x v="2"/>
    <x v="3"/>
    <n v="6"/>
    <n v="9122"/>
    <n v="54732"/>
    <x v="11"/>
    <n v="54732"/>
  </r>
  <r>
    <s v="ORD0458"/>
    <d v="2026-07-31T00:00:00"/>
    <s v="Rahul P"/>
    <x v="0"/>
    <x v="0"/>
    <x v="0"/>
    <n v="1"/>
    <n v="1876"/>
    <n v="1876"/>
    <x v="8"/>
    <n v="1876"/>
  </r>
  <r>
    <s v="ORD0459"/>
    <d v="2026-04-22T00:00:00"/>
    <s v="Gokul R"/>
    <x v="8"/>
    <x v="1"/>
    <x v="2"/>
    <n v="6"/>
    <n v="20772"/>
    <n v="124632"/>
    <x v="2"/>
    <n v="124632"/>
  </r>
  <r>
    <s v="ORD0460"/>
    <d v="2026-12-08T00:00:00"/>
    <s v="Aishwarya K"/>
    <x v="5"/>
    <x v="3"/>
    <x v="2"/>
    <n v="1"/>
    <n v="815"/>
    <n v="815"/>
    <x v="7"/>
    <n v="815"/>
  </r>
  <r>
    <s v="ORD0461"/>
    <d v="2026-09-30T00:00:00"/>
    <s v="Deepa S"/>
    <x v="0"/>
    <x v="0"/>
    <x v="2"/>
    <n v="4"/>
    <n v="1661"/>
    <n v="6644"/>
    <x v="11"/>
    <n v="6644"/>
  </r>
  <r>
    <s v="ORD0462"/>
    <d v="2026-05-21T00:00:00"/>
    <s v="Deepa S"/>
    <x v="6"/>
    <x v="1"/>
    <x v="4"/>
    <n v="1"/>
    <n v="45212"/>
    <n v="45212"/>
    <x v="0"/>
    <n v="45212"/>
  </r>
  <r>
    <s v="ORD0463"/>
    <d v="2026-12-12T00:00:00"/>
    <s v="Pavithra R"/>
    <x v="6"/>
    <x v="1"/>
    <x v="0"/>
    <n v="5"/>
    <n v="47255"/>
    <n v="236275"/>
    <x v="7"/>
    <n v="236275"/>
  </r>
  <r>
    <s v="ORD0464"/>
    <d v="2026-05-04T00:00:00"/>
    <s v="Vijay S"/>
    <x v="8"/>
    <x v="1"/>
    <x v="1"/>
    <n v="1"/>
    <n v="22086"/>
    <n v="22086"/>
    <x v="0"/>
    <n v="22086"/>
  </r>
  <r>
    <s v="ORD0465"/>
    <d v="2026-05-17T00:00:00"/>
    <s v="Naveen M"/>
    <x v="7"/>
    <x v="2"/>
    <x v="3"/>
    <n v="3"/>
    <n v="8929"/>
    <n v="26787"/>
    <x v="0"/>
    <n v="26787"/>
  </r>
  <r>
    <s v="ORD0466"/>
    <d v="2026-05-05T00:00:00"/>
    <s v="Meena R"/>
    <x v="5"/>
    <x v="3"/>
    <x v="4"/>
    <n v="4"/>
    <n v="795"/>
    <n v="3180"/>
    <x v="0"/>
    <n v="3180"/>
  </r>
  <r>
    <s v="ORD0467"/>
    <d v="2026-11-29T00:00:00"/>
    <s v="Priya S"/>
    <x v="0"/>
    <x v="0"/>
    <x v="3"/>
    <n v="1"/>
    <n v="1844"/>
    <n v="1844"/>
    <x v="3"/>
    <n v="1844"/>
  </r>
  <r>
    <s v="ORD0468"/>
    <d v="2026-09-01T00:00:00"/>
    <s v="Priya S"/>
    <x v="2"/>
    <x v="1"/>
    <x v="3"/>
    <n v="4"/>
    <n v="14705"/>
    <n v="58820"/>
    <x v="11"/>
    <n v="58820"/>
  </r>
  <r>
    <s v="ORD0469"/>
    <d v="2026-08-11T00:00:00"/>
    <s v="Hari V"/>
    <x v="9"/>
    <x v="4"/>
    <x v="1"/>
    <n v="2"/>
    <n v="233"/>
    <n v="466"/>
    <x v="10"/>
    <n v="466"/>
  </r>
  <r>
    <s v="ORD0470"/>
    <d v="2026-04-28T00:00:00"/>
    <s v="Vijay S"/>
    <x v="8"/>
    <x v="1"/>
    <x v="1"/>
    <n v="5"/>
    <n v="23475"/>
    <n v="117375"/>
    <x v="2"/>
    <n v="117375"/>
  </r>
  <r>
    <s v="ORD0471"/>
    <d v="2026-02-08T00:00:00"/>
    <s v="Suresh K"/>
    <x v="11"/>
    <x v="1"/>
    <x v="1"/>
    <n v="3"/>
    <n v="11129"/>
    <n v="33387"/>
    <x v="9"/>
    <n v="33387"/>
  </r>
  <r>
    <s v="ORD0472"/>
    <d v="2026-06-11T00:00:00"/>
    <s v="Arun Kumar"/>
    <x v="3"/>
    <x v="2"/>
    <x v="0"/>
    <n v="6"/>
    <n v="6477"/>
    <n v="38862"/>
    <x v="5"/>
    <n v="38862"/>
  </r>
  <r>
    <s v="ORD0473"/>
    <d v="2026-12-31T00:00:00"/>
    <s v="Naveen M"/>
    <x v="3"/>
    <x v="2"/>
    <x v="3"/>
    <n v="2"/>
    <n v="7283"/>
    <n v="14566"/>
    <x v="7"/>
    <n v="14566"/>
  </r>
  <r>
    <s v="ORD0474"/>
    <d v="2026-10-18T00:00:00"/>
    <s v="Naveen M"/>
    <x v="10"/>
    <x v="3"/>
    <x v="1"/>
    <n v="2"/>
    <n v="1212"/>
    <n v="2424"/>
    <x v="1"/>
    <n v="2424"/>
  </r>
  <r>
    <s v="ORD0475"/>
    <d v="2026-03-13T00:00:00"/>
    <s v="Karthik R"/>
    <x v="5"/>
    <x v="3"/>
    <x v="1"/>
    <n v="4"/>
    <n v="833"/>
    <n v="3332"/>
    <x v="6"/>
    <n v="3332"/>
  </r>
  <r>
    <s v="ORD0476"/>
    <d v="2026-08-12T00:00:00"/>
    <s v="Meena R"/>
    <x v="9"/>
    <x v="4"/>
    <x v="3"/>
    <n v="3"/>
    <n v="232"/>
    <n v="696"/>
    <x v="10"/>
    <n v="696"/>
  </r>
  <r>
    <s v="ORD0477"/>
    <d v="2026-11-01T00:00:00"/>
    <s v="Naveen M"/>
    <x v="5"/>
    <x v="3"/>
    <x v="4"/>
    <n v="5"/>
    <n v="834"/>
    <n v="4170"/>
    <x v="3"/>
    <n v="4170"/>
  </r>
  <r>
    <s v="ORD0478"/>
    <d v="2026-08-19T00:00:00"/>
    <s v="Swetha P"/>
    <x v="6"/>
    <x v="1"/>
    <x v="0"/>
    <n v="6"/>
    <n v="43368"/>
    <n v="260208"/>
    <x v="10"/>
    <n v="260208"/>
  </r>
  <r>
    <s v="ORD0479"/>
    <d v="2026-08-10T00:00:00"/>
    <s v="Sneha K"/>
    <x v="5"/>
    <x v="3"/>
    <x v="1"/>
    <n v="5"/>
    <n v="856"/>
    <n v="4280"/>
    <x v="10"/>
    <n v="4280"/>
  </r>
  <r>
    <s v="ORD0480"/>
    <d v="2026-11-13T00:00:00"/>
    <s v="Anitha P"/>
    <x v="0"/>
    <x v="0"/>
    <x v="0"/>
    <n v="4"/>
    <n v="1681"/>
    <n v="6724"/>
    <x v="3"/>
    <n v="6724"/>
  </r>
  <r>
    <s v="ORD0481"/>
    <d v="2026-03-20T00:00:00"/>
    <s v="Naveen M"/>
    <x v="9"/>
    <x v="4"/>
    <x v="0"/>
    <n v="1"/>
    <n v="233"/>
    <n v="233"/>
    <x v="6"/>
    <n v="233"/>
  </r>
  <r>
    <s v="ORD0482"/>
    <d v="2026-02-24T00:00:00"/>
    <s v="Karthik R"/>
    <x v="9"/>
    <x v="4"/>
    <x v="3"/>
    <n v="4"/>
    <n v="243"/>
    <n v="972"/>
    <x v="9"/>
    <n v="972"/>
  </r>
  <r>
    <s v="ORD0483"/>
    <d v="2026-05-19T00:00:00"/>
    <s v="Divya M"/>
    <x v="10"/>
    <x v="3"/>
    <x v="0"/>
    <n v="4"/>
    <n v="1173"/>
    <n v="4692"/>
    <x v="0"/>
    <n v="4692"/>
  </r>
  <r>
    <s v="ORD0484"/>
    <d v="2026-10-13T00:00:00"/>
    <s v="Deepa S"/>
    <x v="8"/>
    <x v="1"/>
    <x v="1"/>
    <n v="2"/>
    <n v="21757"/>
    <n v="43514"/>
    <x v="1"/>
    <n v="43514"/>
  </r>
  <r>
    <s v="ORD0485"/>
    <d v="2026-07-01T00:00:00"/>
    <s v="Deepa S"/>
    <x v="2"/>
    <x v="1"/>
    <x v="3"/>
    <n v="1"/>
    <n v="13863"/>
    <n v="13863"/>
    <x v="8"/>
    <n v="13863"/>
  </r>
  <r>
    <s v="ORD0486"/>
    <d v="2026-07-17T00:00:00"/>
    <s v="Arun Kumar"/>
    <x v="3"/>
    <x v="2"/>
    <x v="4"/>
    <n v="5"/>
    <n v="7319"/>
    <n v="36595"/>
    <x v="8"/>
    <n v="36595"/>
  </r>
  <r>
    <s v="ORD0487"/>
    <d v="2026-10-14T00:00:00"/>
    <s v="Meena R"/>
    <x v="2"/>
    <x v="1"/>
    <x v="1"/>
    <n v="4"/>
    <n v="15670"/>
    <n v="62680"/>
    <x v="1"/>
    <n v="62680"/>
  </r>
  <r>
    <s v="ORD0488"/>
    <d v="2026-03-28T00:00:00"/>
    <s v="Rahul P"/>
    <x v="7"/>
    <x v="2"/>
    <x v="4"/>
    <n v="2"/>
    <n v="8752"/>
    <n v="17504"/>
    <x v="6"/>
    <n v="17504"/>
  </r>
  <r>
    <s v="ORD0489"/>
    <d v="2026-02-02T00:00:00"/>
    <s v="Sneha K"/>
    <x v="10"/>
    <x v="3"/>
    <x v="2"/>
    <n v="3"/>
    <n v="1199"/>
    <n v="3597"/>
    <x v="9"/>
    <n v="3597"/>
  </r>
  <r>
    <s v="ORD0490"/>
    <d v="2026-02-09T00:00:00"/>
    <s v="Keerthana S"/>
    <x v="10"/>
    <x v="3"/>
    <x v="4"/>
    <n v="4"/>
    <n v="1162"/>
    <n v="4648"/>
    <x v="9"/>
    <n v="4648"/>
  </r>
  <r>
    <s v="ORD0491"/>
    <d v="2026-11-01T00:00:00"/>
    <s v="Aishwarya K"/>
    <x v="4"/>
    <x v="3"/>
    <x v="0"/>
    <n v="6"/>
    <n v="2550"/>
    <n v="15300"/>
    <x v="3"/>
    <n v="15300"/>
  </r>
  <r>
    <s v="ORD0492"/>
    <d v="2026-01-04T00:00:00"/>
    <s v="Naveen M"/>
    <x v="11"/>
    <x v="1"/>
    <x v="4"/>
    <n v="1"/>
    <n v="11300"/>
    <n v="11300"/>
    <x v="4"/>
    <n v="11300"/>
  </r>
  <r>
    <s v="ORD0493"/>
    <d v="2026-06-18T00:00:00"/>
    <s v="Dinesh K"/>
    <x v="3"/>
    <x v="2"/>
    <x v="4"/>
    <n v="4"/>
    <n v="7341"/>
    <n v="29364"/>
    <x v="5"/>
    <n v="29364"/>
  </r>
  <r>
    <s v="ORD0494"/>
    <d v="2026-03-11T00:00:00"/>
    <s v="Anitha P"/>
    <x v="2"/>
    <x v="1"/>
    <x v="4"/>
    <n v="6"/>
    <n v="16138"/>
    <n v="96828"/>
    <x v="6"/>
    <n v="96828"/>
  </r>
  <r>
    <s v="ORD0495"/>
    <d v="2026-06-10T00:00:00"/>
    <s v="Sneha K"/>
    <x v="3"/>
    <x v="2"/>
    <x v="2"/>
    <n v="6"/>
    <n v="6665"/>
    <n v="39990"/>
    <x v="5"/>
    <n v="39990"/>
  </r>
  <r>
    <s v="ORD0496"/>
    <d v="2026-11-21T00:00:00"/>
    <s v="Swetha P"/>
    <x v="5"/>
    <x v="3"/>
    <x v="1"/>
    <n v="3"/>
    <n v="830"/>
    <n v="2490"/>
    <x v="3"/>
    <n v="2490"/>
  </r>
  <r>
    <s v="ORD0497"/>
    <d v="2026-07-21T00:00:00"/>
    <s v="Keerthana S"/>
    <x v="4"/>
    <x v="3"/>
    <x v="3"/>
    <n v="3"/>
    <n v="2450"/>
    <n v="7350"/>
    <x v="8"/>
    <n v="7350"/>
  </r>
  <r>
    <s v="ORD0498"/>
    <d v="2026-10-07T00:00:00"/>
    <s v="Sneha K"/>
    <x v="3"/>
    <x v="2"/>
    <x v="1"/>
    <n v="2"/>
    <n v="7103"/>
    <n v="14206"/>
    <x v="1"/>
    <n v="14206"/>
  </r>
  <r>
    <s v="ORD0499"/>
    <d v="2026-12-29T00:00:00"/>
    <s v="Vijay S"/>
    <x v="6"/>
    <x v="1"/>
    <x v="2"/>
    <n v="6"/>
    <n v="44724"/>
    <n v="268344"/>
    <x v="7"/>
    <n v="268344"/>
  </r>
  <r>
    <s v="ORD0500"/>
    <d v="2026-07-29T00:00:00"/>
    <s v="Swetha P"/>
    <x v="10"/>
    <x v="3"/>
    <x v="0"/>
    <n v="6"/>
    <n v="1117"/>
    <n v="6702"/>
    <x v="8"/>
    <n v="67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ORD0001"/>
    <d v="2026-05-21T00:00:00"/>
    <x v="0"/>
    <x v="0"/>
    <x v="0"/>
    <x v="0"/>
    <n v="1"/>
    <n v="1663"/>
    <n v="1663"/>
    <x v="0"/>
    <n v="1663"/>
  </r>
  <r>
    <s v="ORD0002"/>
    <d v="2026-10-07T00:00:00"/>
    <x v="1"/>
    <x v="1"/>
    <x v="1"/>
    <x v="1"/>
    <n v="6"/>
    <n v="16855"/>
    <n v="101130"/>
    <x v="1"/>
    <n v="101130"/>
  </r>
  <r>
    <s v="ORD0003"/>
    <d v="2026-04-22T00:00:00"/>
    <x v="0"/>
    <x v="2"/>
    <x v="1"/>
    <x v="1"/>
    <n v="1"/>
    <n v="13872"/>
    <n v="13872"/>
    <x v="2"/>
    <n v="13872"/>
  </r>
  <r>
    <s v="ORD0004"/>
    <d v="2026-11-29T00:00:00"/>
    <x v="2"/>
    <x v="3"/>
    <x v="2"/>
    <x v="2"/>
    <n v="1"/>
    <n v="7069"/>
    <n v="7069"/>
    <x v="3"/>
    <n v="7069"/>
  </r>
  <r>
    <s v="ORD0005"/>
    <d v="2026-01-04T00:00:00"/>
    <x v="3"/>
    <x v="4"/>
    <x v="3"/>
    <x v="2"/>
    <n v="4"/>
    <n v="2536"/>
    <n v="10144"/>
    <x v="4"/>
    <n v="10144"/>
  </r>
  <r>
    <s v="ORD0006"/>
    <d v="2026-06-22T00:00:00"/>
    <x v="4"/>
    <x v="5"/>
    <x v="3"/>
    <x v="3"/>
    <n v="3"/>
    <n v="756"/>
    <n v="2268"/>
    <x v="5"/>
    <n v="2268"/>
  </r>
  <r>
    <s v="ORD0007"/>
    <d v="2026-06-26T00:00:00"/>
    <x v="5"/>
    <x v="2"/>
    <x v="1"/>
    <x v="4"/>
    <n v="1"/>
    <n v="14662"/>
    <n v="14662"/>
    <x v="5"/>
    <n v="14662"/>
  </r>
  <r>
    <s v="ORD0008"/>
    <d v="2026-03-05T00:00:00"/>
    <x v="6"/>
    <x v="6"/>
    <x v="1"/>
    <x v="3"/>
    <n v="6"/>
    <n v="44708"/>
    <n v="268248"/>
    <x v="6"/>
    <n v="268248"/>
  </r>
  <r>
    <s v="ORD0009"/>
    <d v="2026-11-13T00:00:00"/>
    <x v="7"/>
    <x v="7"/>
    <x v="2"/>
    <x v="1"/>
    <n v="3"/>
    <n v="8948"/>
    <n v="26844"/>
    <x v="3"/>
    <n v="26844"/>
  </r>
  <r>
    <s v="ORD0010"/>
    <d v="2026-12-05T00:00:00"/>
    <x v="0"/>
    <x v="4"/>
    <x v="3"/>
    <x v="4"/>
    <n v="6"/>
    <n v="2328"/>
    <n v="13968"/>
    <x v="7"/>
    <n v="13968"/>
  </r>
  <r>
    <s v="ORD0011"/>
    <d v="2026-07-14T00:00:00"/>
    <x v="8"/>
    <x v="8"/>
    <x v="1"/>
    <x v="2"/>
    <n v="2"/>
    <n v="23290"/>
    <n v="46580"/>
    <x v="8"/>
    <n v="46580"/>
  </r>
  <r>
    <s v="ORD0012"/>
    <d v="2026-07-01T00:00:00"/>
    <x v="9"/>
    <x v="0"/>
    <x v="0"/>
    <x v="4"/>
    <n v="3"/>
    <n v="1703"/>
    <n v="5109"/>
    <x v="8"/>
    <n v="5109"/>
  </r>
  <r>
    <s v="ORD0013"/>
    <d v="2026-11-08T00:00:00"/>
    <x v="3"/>
    <x v="9"/>
    <x v="4"/>
    <x v="1"/>
    <n v="6"/>
    <n v="256"/>
    <n v="1536"/>
    <x v="3"/>
    <n v="1536"/>
  </r>
  <r>
    <s v="ORD0014"/>
    <d v="2026-07-14T00:00:00"/>
    <x v="8"/>
    <x v="9"/>
    <x v="4"/>
    <x v="1"/>
    <n v="2"/>
    <n v="237"/>
    <n v="474"/>
    <x v="8"/>
    <n v="474"/>
  </r>
  <r>
    <s v="ORD0015"/>
    <d v="2026-01-29T00:00:00"/>
    <x v="0"/>
    <x v="4"/>
    <x v="3"/>
    <x v="3"/>
    <n v="6"/>
    <n v="2430"/>
    <n v="14580"/>
    <x v="4"/>
    <n v="14580"/>
  </r>
  <r>
    <s v="ORD0016"/>
    <d v="2026-04-19T00:00:00"/>
    <x v="10"/>
    <x v="5"/>
    <x v="3"/>
    <x v="4"/>
    <n v="4"/>
    <n v="770"/>
    <n v="3080"/>
    <x v="2"/>
    <n v="3080"/>
  </r>
  <r>
    <s v="ORD0017"/>
    <d v="2026-11-26T00:00:00"/>
    <x v="11"/>
    <x v="4"/>
    <x v="3"/>
    <x v="0"/>
    <n v="6"/>
    <n v="2500"/>
    <n v="15000"/>
    <x v="3"/>
    <n v="15000"/>
  </r>
  <r>
    <s v="ORD0018"/>
    <d v="2026-10-15T00:00:00"/>
    <x v="2"/>
    <x v="10"/>
    <x v="3"/>
    <x v="4"/>
    <n v="2"/>
    <n v="1151"/>
    <n v="2302"/>
    <x v="1"/>
    <n v="2302"/>
  </r>
  <r>
    <s v="ORD0019"/>
    <d v="2026-10-26T00:00:00"/>
    <x v="6"/>
    <x v="9"/>
    <x v="4"/>
    <x v="4"/>
    <n v="5"/>
    <n v="247"/>
    <n v="1235"/>
    <x v="1"/>
    <n v="1235"/>
  </r>
  <r>
    <s v="ORD0020"/>
    <d v="2026-02-16T00:00:00"/>
    <x v="12"/>
    <x v="4"/>
    <x v="3"/>
    <x v="3"/>
    <n v="2"/>
    <n v="2504"/>
    <n v="5008"/>
    <x v="9"/>
    <n v="5008"/>
  </r>
  <r>
    <s v="ORD0021"/>
    <d v="2026-12-15T00:00:00"/>
    <x v="13"/>
    <x v="1"/>
    <x v="1"/>
    <x v="1"/>
    <n v="6"/>
    <n v="17021"/>
    <n v="102126"/>
    <x v="7"/>
    <n v="102126"/>
  </r>
  <r>
    <s v="ORD0022"/>
    <d v="2026-08-28T00:00:00"/>
    <x v="14"/>
    <x v="8"/>
    <x v="1"/>
    <x v="4"/>
    <n v="4"/>
    <n v="21583"/>
    <n v="86332"/>
    <x v="10"/>
    <n v="86332"/>
  </r>
  <r>
    <s v="ORD0023"/>
    <d v="2026-02-28T00:00:00"/>
    <x v="2"/>
    <x v="7"/>
    <x v="2"/>
    <x v="4"/>
    <n v="1"/>
    <n v="8745"/>
    <n v="8745"/>
    <x v="9"/>
    <n v="8745"/>
  </r>
  <r>
    <s v="ORD0024"/>
    <d v="2026-08-11T00:00:00"/>
    <x v="3"/>
    <x v="0"/>
    <x v="0"/>
    <x v="2"/>
    <n v="3"/>
    <n v="1688"/>
    <n v="5064"/>
    <x v="10"/>
    <n v="5064"/>
  </r>
  <r>
    <s v="ORD0025"/>
    <d v="2026-05-15T00:00:00"/>
    <x v="14"/>
    <x v="6"/>
    <x v="1"/>
    <x v="0"/>
    <n v="6"/>
    <n v="47706"/>
    <n v="286236"/>
    <x v="0"/>
    <n v="286236"/>
  </r>
  <r>
    <s v="ORD0026"/>
    <d v="2026-06-02T00:00:00"/>
    <x v="14"/>
    <x v="7"/>
    <x v="2"/>
    <x v="1"/>
    <n v="1"/>
    <n v="9004"/>
    <n v="9004"/>
    <x v="5"/>
    <n v="9004"/>
  </r>
  <r>
    <s v="ORD0027"/>
    <d v="2026-03-24T00:00:00"/>
    <x v="2"/>
    <x v="4"/>
    <x v="3"/>
    <x v="1"/>
    <n v="2"/>
    <n v="2450"/>
    <n v="4900"/>
    <x v="6"/>
    <n v="4900"/>
  </r>
  <r>
    <s v="ORD0028"/>
    <d v="2026-01-10T00:00:00"/>
    <x v="4"/>
    <x v="6"/>
    <x v="1"/>
    <x v="4"/>
    <n v="5"/>
    <n v="43734"/>
    <n v="218670"/>
    <x v="4"/>
    <n v="218670"/>
  </r>
  <r>
    <s v="ORD0029"/>
    <d v="2026-10-18T00:00:00"/>
    <x v="1"/>
    <x v="10"/>
    <x v="3"/>
    <x v="3"/>
    <n v="2"/>
    <n v="1115"/>
    <n v="2230"/>
    <x v="1"/>
    <n v="2230"/>
  </r>
  <r>
    <s v="ORD0030"/>
    <d v="2026-09-30T00:00:00"/>
    <x v="15"/>
    <x v="9"/>
    <x v="4"/>
    <x v="0"/>
    <n v="4"/>
    <n v="263"/>
    <n v="1052"/>
    <x v="11"/>
    <n v="1052"/>
  </r>
  <r>
    <s v="ORD0031"/>
    <d v="2026-03-26T00:00:00"/>
    <x v="8"/>
    <x v="0"/>
    <x v="0"/>
    <x v="1"/>
    <n v="4"/>
    <n v="1929"/>
    <n v="7716"/>
    <x v="6"/>
    <n v="7716"/>
  </r>
  <r>
    <s v="ORD0032"/>
    <d v="2026-10-04T00:00:00"/>
    <x v="9"/>
    <x v="3"/>
    <x v="2"/>
    <x v="4"/>
    <n v="4"/>
    <n v="7520"/>
    <n v="30080"/>
    <x v="1"/>
    <n v="30080"/>
  </r>
  <r>
    <s v="ORD0033"/>
    <d v="2026-08-13T00:00:00"/>
    <x v="14"/>
    <x v="2"/>
    <x v="1"/>
    <x v="2"/>
    <n v="6"/>
    <n v="15360"/>
    <n v="92160"/>
    <x v="10"/>
    <n v="92160"/>
  </r>
  <r>
    <s v="ORD0034"/>
    <d v="2026-06-23T00:00:00"/>
    <x v="16"/>
    <x v="8"/>
    <x v="1"/>
    <x v="1"/>
    <n v="2"/>
    <n v="21031"/>
    <n v="42062"/>
    <x v="5"/>
    <n v="42062"/>
  </r>
  <r>
    <s v="ORD0035"/>
    <d v="2026-01-04T00:00:00"/>
    <x v="1"/>
    <x v="7"/>
    <x v="2"/>
    <x v="3"/>
    <n v="2"/>
    <n v="8620"/>
    <n v="17240"/>
    <x v="4"/>
    <n v="17240"/>
  </r>
  <r>
    <s v="ORD0036"/>
    <d v="2026-06-19T00:00:00"/>
    <x v="1"/>
    <x v="4"/>
    <x v="3"/>
    <x v="1"/>
    <n v="1"/>
    <n v="2662"/>
    <n v="2662"/>
    <x v="5"/>
    <n v="2662"/>
  </r>
  <r>
    <s v="ORD0037"/>
    <d v="2026-04-20T00:00:00"/>
    <x v="2"/>
    <x v="4"/>
    <x v="3"/>
    <x v="0"/>
    <n v="3"/>
    <n v="2568"/>
    <n v="7704"/>
    <x v="2"/>
    <n v="7704"/>
  </r>
  <r>
    <s v="ORD0038"/>
    <d v="2026-05-05T00:00:00"/>
    <x v="17"/>
    <x v="9"/>
    <x v="4"/>
    <x v="2"/>
    <n v="5"/>
    <n v="253"/>
    <n v="1265"/>
    <x v="0"/>
    <n v="1265"/>
  </r>
  <r>
    <s v="ORD0039"/>
    <d v="2026-08-09T00:00:00"/>
    <x v="7"/>
    <x v="4"/>
    <x v="3"/>
    <x v="2"/>
    <n v="1"/>
    <n v="2339"/>
    <n v="2339"/>
    <x v="10"/>
    <n v="2339"/>
  </r>
  <r>
    <s v="ORD0040"/>
    <d v="2026-01-28T00:00:00"/>
    <x v="4"/>
    <x v="2"/>
    <x v="1"/>
    <x v="3"/>
    <n v="4"/>
    <n v="15873"/>
    <n v="63492"/>
    <x v="4"/>
    <n v="63492"/>
  </r>
  <r>
    <s v="ORD0041"/>
    <d v="2026-02-25T00:00:00"/>
    <x v="0"/>
    <x v="2"/>
    <x v="1"/>
    <x v="0"/>
    <n v="6"/>
    <n v="14614"/>
    <n v="87684"/>
    <x v="9"/>
    <n v="87684"/>
  </r>
  <r>
    <s v="ORD0042"/>
    <d v="2026-08-05T00:00:00"/>
    <x v="3"/>
    <x v="4"/>
    <x v="3"/>
    <x v="4"/>
    <n v="5"/>
    <n v="2479"/>
    <n v="12395"/>
    <x v="10"/>
    <n v="12395"/>
  </r>
  <r>
    <s v="ORD0043"/>
    <d v="2026-02-08T00:00:00"/>
    <x v="11"/>
    <x v="11"/>
    <x v="1"/>
    <x v="1"/>
    <n v="2"/>
    <n v="12719"/>
    <n v="25438"/>
    <x v="9"/>
    <n v="25438"/>
  </r>
  <r>
    <s v="ORD0044"/>
    <d v="2026-10-04T00:00:00"/>
    <x v="16"/>
    <x v="8"/>
    <x v="1"/>
    <x v="3"/>
    <n v="1"/>
    <n v="22536"/>
    <n v="22536"/>
    <x v="1"/>
    <n v="22536"/>
  </r>
  <r>
    <s v="ORD0045"/>
    <d v="2026-09-04T00:00:00"/>
    <x v="9"/>
    <x v="4"/>
    <x v="3"/>
    <x v="2"/>
    <n v="2"/>
    <n v="2463"/>
    <n v="4926"/>
    <x v="11"/>
    <n v="4926"/>
  </r>
  <r>
    <s v="ORD0046"/>
    <d v="2026-07-19T00:00:00"/>
    <x v="8"/>
    <x v="6"/>
    <x v="1"/>
    <x v="2"/>
    <n v="2"/>
    <n v="44129"/>
    <n v="88258"/>
    <x v="8"/>
    <n v="88258"/>
  </r>
  <r>
    <s v="ORD0047"/>
    <d v="2026-10-12T00:00:00"/>
    <x v="17"/>
    <x v="10"/>
    <x v="3"/>
    <x v="0"/>
    <n v="4"/>
    <n v="1238"/>
    <n v="4952"/>
    <x v="1"/>
    <n v="4952"/>
  </r>
  <r>
    <s v="ORD0048"/>
    <d v="2026-01-30T00:00:00"/>
    <x v="10"/>
    <x v="4"/>
    <x v="3"/>
    <x v="1"/>
    <n v="3"/>
    <n v="2387"/>
    <n v="7161"/>
    <x v="4"/>
    <n v="7161"/>
  </r>
  <r>
    <s v="ORD0049"/>
    <d v="2026-01-26T00:00:00"/>
    <x v="10"/>
    <x v="6"/>
    <x v="1"/>
    <x v="2"/>
    <n v="6"/>
    <n v="43658"/>
    <n v="261948"/>
    <x v="4"/>
    <n v="261948"/>
  </r>
  <r>
    <s v="ORD0050"/>
    <d v="2026-09-18T00:00:00"/>
    <x v="1"/>
    <x v="7"/>
    <x v="2"/>
    <x v="0"/>
    <n v="5"/>
    <n v="8034"/>
    <n v="40170"/>
    <x v="11"/>
    <n v="40170"/>
  </r>
  <r>
    <s v="ORD0051"/>
    <d v="2026-05-01T00:00:00"/>
    <x v="6"/>
    <x v="8"/>
    <x v="1"/>
    <x v="3"/>
    <n v="5"/>
    <n v="20479"/>
    <n v="102395"/>
    <x v="0"/>
    <n v="102395"/>
  </r>
  <r>
    <s v="ORD0052"/>
    <d v="2026-01-21T00:00:00"/>
    <x v="5"/>
    <x v="3"/>
    <x v="2"/>
    <x v="3"/>
    <n v="2"/>
    <n v="7088"/>
    <n v="14176"/>
    <x v="4"/>
    <n v="14176"/>
  </r>
  <r>
    <s v="ORD0053"/>
    <d v="2026-09-25T00:00:00"/>
    <x v="18"/>
    <x v="2"/>
    <x v="1"/>
    <x v="4"/>
    <n v="6"/>
    <n v="15201"/>
    <n v="91206"/>
    <x v="11"/>
    <n v="91206"/>
  </r>
  <r>
    <s v="ORD0054"/>
    <d v="2026-05-03T00:00:00"/>
    <x v="8"/>
    <x v="4"/>
    <x v="3"/>
    <x v="2"/>
    <n v="6"/>
    <n v="2586"/>
    <n v="15516"/>
    <x v="0"/>
    <n v="15516"/>
  </r>
  <r>
    <s v="ORD0055"/>
    <d v="2026-08-23T00:00:00"/>
    <x v="18"/>
    <x v="1"/>
    <x v="1"/>
    <x v="3"/>
    <n v="6"/>
    <n v="18419"/>
    <n v="110514"/>
    <x v="10"/>
    <n v="110514"/>
  </r>
  <r>
    <s v="ORD0056"/>
    <d v="2026-10-16T00:00:00"/>
    <x v="4"/>
    <x v="6"/>
    <x v="1"/>
    <x v="3"/>
    <n v="4"/>
    <n v="45872"/>
    <n v="183488"/>
    <x v="1"/>
    <n v="183488"/>
  </r>
  <r>
    <s v="ORD0057"/>
    <d v="2026-03-09T00:00:00"/>
    <x v="7"/>
    <x v="7"/>
    <x v="2"/>
    <x v="3"/>
    <n v="2"/>
    <n v="8508"/>
    <n v="17016"/>
    <x v="6"/>
    <n v="17016"/>
  </r>
  <r>
    <s v="ORD0058"/>
    <d v="2026-08-13T00:00:00"/>
    <x v="2"/>
    <x v="4"/>
    <x v="3"/>
    <x v="4"/>
    <n v="3"/>
    <n v="2414"/>
    <n v="7242"/>
    <x v="10"/>
    <n v="7242"/>
  </r>
  <r>
    <s v="ORD0059"/>
    <d v="2026-12-08T00:00:00"/>
    <x v="2"/>
    <x v="3"/>
    <x v="2"/>
    <x v="4"/>
    <n v="6"/>
    <n v="7032"/>
    <n v="42192"/>
    <x v="7"/>
    <n v="42192"/>
  </r>
  <r>
    <s v="ORD0060"/>
    <d v="2026-03-10T00:00:00"/>
    <x v="8"/>
    <x v="0"/>
    <x v="0"/>
    <x v="3"/>
    <n v="1"/>
    <n v="1926"/>
    <n v="1926"/>
    <x v="6"/>
    <n v="1926"/>
  </r>
  <r>
    <s v="ORD0061"/>
    <d v="2026-05-20T00:00:00"/>
    <x v="19"/>
    <x v="8"/>
    <x v="1"/>
    <x v="1"/>
    <n v="6"/>
    <n v="22187"/>
    <n v="133122"/>
    <x v="0"/>
    <n v="133122"/>
  </r>
  <r>
    <s v="ORD0062"/>
    <d v="2026-12-18T00:00:00"/>
    <x v="8"/>
    <x v="4"/>
    <x v="3"/>
    <x v="1"/>
    <n v="6"/>
    <n v="2437"/>
    <n v="14622"/>
    <x v="7"/>
    <n v="14622"/>
  </r>
  <r>
    <s v="ORD0063"/>
    <d v="2026-01-27T00:00:00"/>
    <x v="1"/>
    <x v="11"/>
    <x v="1"/>
    <x v="2"/>
    <n v="3"/>
    <n v="12778"/>
    <n v="38334"/>
    <x v="4"/>
    <n v="38334"/>
  </r>
  <r>
    <s v="ORD0064"/>
    <d v="2026-03-08T00:00:00"/>
    <x v="8"/>
    <x v="10"/>
    <x v="3"/>
    <x v="0"/>
    <n v="1"/>
    <n v="1105"/>
    <n v="1105"/>
    <x v="6"/>
    <n v="1105"/>
  </r>
  <r>
    <s v="ORD0065"/>
    <d v="2026-08-07T00:00:00"/>
    <x v="2"/>
    <x v="9"/>
    <x v="4"/>
    <x v="3"/>
    <n v="4"/>
    <n v="252"/>
    <n v="1008"/>
    <x v="10"/>
    <n v="1008"/>
  </r>
  <r>
    <s v="ORD0066"/>
    <d v="2026-12-20T00:00:00"/>
    <x v="15"/>
    <x v="8"/>
    <x v="1"/>
    <x v="1"/>
    <n v="1"/>
    <n v="23567"/>
    <n v="23567"/>
    <x v="7"/>
    <n v="23567"/>
  </r>
  <r>
    <s v="ORD0067"/>
    <d v="2026-03-17T00:00:00"/>
    <x v="13"/>
    <x v="6"/>
    <x v="1"/>
    <x v="0"/>
    <n v="3"/>
    <n v="45594"/>
    <n v="136782"/>
    <x v="6"/>
    <n v="136782"/>
  </r>
  <r>
    <s v="ORD0068"/>
    <d v="2026-01-21T00:00:00"/>
    <x v="7"/>
    <x v="6"/>
    <x v="1"/>
    <x v="0"/>
    <n v="3"/>
    <n v="44025"/>
    <n v="132075"/>
    <x v="4"/>
    <n v="132075"/>
  </r>
  <r>
    <s v="ORD0069"/>
    <d v="2026-07-01T00:00:00"/>
    <x v="2"/>
    <x v="0"/>
    <x v="0"/>
    <x v="2"/>
    <n v="2"/>
    <n v="1848"/>
    <n v="3696"/>
    <x v="8"/>
    <n v="3696"/>
  </r>
  <r>
    <s v="ORD0070"/>
    <d v="2026-05-02T00:00:00"/>
    <x v="3"/>
    <x v="3"/>
    <x v="2"/>
    <x v="0"/>
    <n v="6"/>
    <n v="6613"/>
    <n v="39678"/>
    <x v="0"/>
    <n v="39678"/>
  </r>
  <r>
    <s v="ORD0071"/>
    <d v="2026-06-20T00:00:00"/>
    <x v="13"/>
    <x v="2"/>
    <x v="1"/>
    <x v="0"/>
    <n v="1"/>
    <n v="14230"/>
    <n v="14230"/>
    <x v="5"/>
    <n v="14230"/>
  </r>
  <r>
    <s v="ORD0072"/>
    <d v="2026-02-25T00:00:00"/>
    <x v="6"/>
    <x v="10"/>
    <x v="3"/>
    <x v="3"/>
    <n v="2"/>
    <n v="1255"/>
    <n v="2510"/>
    <x v="9"/>
    <n v="2510"/>
  </r>
  <r>
    <s v="ORD0073"/>
    <d v="2026-08-24T00:00:00"/>
    <x v="7"/>
    <x v="11"/>
    <x v="1"/>
    <x v="4"/>
    <n v="2"/>
    <n v="11423"/>
    <n v="22846"/>
    <x v="10"/>
    <n v="22846"/>
  </r>
  <r>
    <s v="ORD0074"/>
    <d v="2026-04-09T00:00:00"/>
    <x v="6"/>
    <x v="4"/>
    <x v="3"/>
    <x v="4"/>
    <n v="2"/>
    <n v="2309"/>
    <n v="4618"/>
    <x v="2"/>
    <n v="4618"/>
  </r>
  <r>
    <s v="ORD0075"/>
    <d v="2026-05-23T00:00:00"/>
    <x v="7"/>
    <x v="10"/>
    <x v="3"/>
    <x v="1"/>
    <n v="1"/>
    <n v="1290"/>
    <n v="1290"/>
    <x v="0"/>
    <n v="1290"/>
  </r>
  <r>
    <s v="ORD0076"/>
    <d v="2026-10-02T00:00:00"/>
    <x v="18"/>
    <x v="2"/>
    <x v="1"/>
    <x v="3"/>
    <n v="6"/>
    <n v="16155"/>
    <n v="96930"/>
    <x v="1"/>
    <n v="96930"/>
  </r>
  <r>
    <s v="ORD0077"/>
    <d v="2026-05-16T00:00:00"/>
    <x v="12"/>
    <x v="8"/>
    <x v="1"/>
    <x v="3"/>
    <n v="3"/>
    <n v="20869"/>
    <n v="62607"/>
    <x v="0"/>
    <n v="62607"/>
  </r>
  <r>
    <s v="ORD0078"/>
    <d v="2026-06-10T00:00:00"/>
    <x v="13"/>
    <x v="3"/>
    <x v="2"/>
    <x v="1"/>
    <n v="4"/>
    <n v="6827"/>
    <n v="27308"/>
    <x v="5"/>
    <n v="27308"/>
  </r>
  <r>
    <s v="ORD0079"/>
    <d v="2026-10-23T00:00:00"/>
    <x v="9"/>
    <x v="7"/>
    <x v="2"/>
    <x v="4"/>
    <n v="1"/>
    <n v="8344"/>
    <n v="8344"/>
    <x v="1"/>
    <n v="8344"/>
  </r>
  <r>
    <s v="ORD0080"/>
    <d v="2026-09-24T00:00:00"/>
    <x v="2"/>
    <x v="6"/>
    <x v="1"/>
    <x v="0"/>
    <n v="6"/>
    <n v="44540"/>
    <n v="267240"/>
    <x v="11"/>
    <n v="267240"/>
  </r>
  <r>
    <s v="ORD0081"/>
    <d v="2026-12-07T00:00:00"/>
    <x v="18"/>
    <x v="5"/>
    <x v="3"/>
    <x v="1"/>
    <n v="4"/>
    <n v="745"/>
    <n v="2980"/>
    <x v="7"/>
    <n v="2980"/>
  </r>
  <r>
    <s v="ORD0082"/>
    <d v="2026-06-03T00:00:00"/>
    <x v="14"/>
    <x v="5"/>
    <x v="3"/>
    <x v="4"/>
    <n v="6"/>
    <n v="845"/>
    <n v="5070"/>
    <x v="5"/>
    <n v="5070"/>
  </r>
  <r>
    <s v="ORD0083"/>
    <d v="2026-12-23T00:00:00"/>
    <x v="19"/>
    <x v="0"/>
    <x v="0"/>
    <x v="1"/>
    <n v="4"/>
    <n v="1750"/>
    <n v="7000"/>
    <x v="7"/>
    <n v="7000"/>
  </r>
  <r>
    <s v="ORD0084"/>
    <d v="2026-07-14T00:00:00"/>
    <x v="3"/>
    <x v="1"/>
    <x v="1"/>
    <x v="1"/>
    <n v="2"/>
    <n v="17771"/>
    <n v="35542"/>
    <x v="8"/>
    <n v="35542"/>
  </r>
  <r>
    <s v="ORD0085"/>
    <d v="2026-01-01T00:00:00"/>
    <x v="19"/>
    <x v="3"/>
    <x v="2"/>
    <x v="4"/>
    <n v="3"/>
    <n v="6895"/>
    <n v="20685"/>
    <x v="4"/>
    <n v="20685"/>
  </r>
  <r>
    <s v="ORD0086"/>
    <d v="2026-11-07T00:00:00"/>
    <x v="18"/>
    <x v="4"/>
    <x v="3"/>
    <x v="2"/>
    <n v="4"/>
    <n v="2614"/>
    <n v="10456"/>
    <x v="3"/>
    <n v="10456"/>
  </r>
  <r>
    <s v="ORD0087"/>
    <d v="2026-09-19T00:00:00"/>
    <x v="17"/>
    <x v="11"/>
    <x v="1"/>
    <x v="0"/>
    <n v="4"/>
    <n v="12337"/>
    <n v="49348"/>
    <x v="11"/>
    <n v="49348"/>
  </r>
  <r>
    <s v="ORD0088"/>
    <d v="2026-12-06T00:00:00"/>
    <x v="5"/>
    <x v="0"/>
    <x v="0"/>
    <x v="4"/>
    <n v="1"/>
    <n v="1738"/>
    <n v="1738"/>
    <x v="7"/>
    <n v="1738"/>
  </r>
  <r>
    <s v="ORD0089"/>
    <d v="2026-04-26T00:00:00"/>
    <x v="9"/>
    <x v="8"/>
    <x v="1"/>
    <x v="0"/>
    <n v="2"/>
    <n v="22608"/>
    <n v="45216"/>
    <x v="2"/>
    <n v="45216"/>
  </r>
  <r>
    <s v="ORD0090"/>
    <d v="2026-09-01T00:00:00"/>
    <x v="5"/>
    <x v="6"/>
    <x v="1"/>
    <x v="3"/>
    <n v="1"/>
    <n v="43163"/>
    <n v="43163"/>
    <x v="11"/>
    <n v="43163"/>
  </r>
  <r>
    <s v="ORD0091"/>
    <d v="2026-10-22T00:00:00"/>
    <x v="9"/>
    <x v="11"/>
    <x v="1"/>
    <x v="2"/>
    <n v="4"/>
    <n v="12741"/>
    <n v="50964"/>
    <x v="1"/>
    <n v="50964"/>
  </r>
  <r>
    <s v="ORD0092"/>
    <d v="2026-12-02T00:00:00"/>
    <x v="16"/>
    <x v="11"/>
    <x v="1"/>
    <x v="3"/>
    <n v="4"/>
    <n v="11508"/>
    <n v="46032"/>
    <x v="7"/>
    <n v="46032"/>
  </r>
  <r>
    <s v="ORD0093"/>
    <d v="2026-12-23T00:00:00"/>
    <x v="14"/>
    <x v="2"/>
    <x v="1"/>
    <x v="2"/>
    <n v="2"/>
    <n v="14222"/>
    <n v="28444"/>
    <x v="7"/>
    <n v="28444"/>
  </r>
  <r>
    <s v="ORD0094"/>
    <d v="2026-03-04T00:00:00"/>
    <x v="11"/>
    <x v="6"/>
    <x v="1"/>
    <x v="0"/>
    <n v="5"/>
    <n v="43194"/>
    <n v="215970"/>
    <x v="6"/>
    <n v="215970"/>
  </r>
  <r>
    <s v="ORD0095"/>
    <d v="2026-10-14T00:00:00"/>
    <x v="5"/>
    <x v="11"/>
    <x v="1"/>
    <x v="4"/>
    <n v="6"/>
    <n v="12060"/>
    <n v="72360"/>
    <x v="1"/>
    <n v="72360"/>
  </r>
  <r>
    <s v="ORD0096"/>
    <d v="2026-09-16T00:00:00"/>
    <x v="13"/>
    <x v="11"/>
    <x v="1"/>
    <x v="1"/>
    <n v="5"/>
    <n v="12605"/>
    <n v="63025"/>
    <x v="11"/>
    <n v="63025"/>
  </r>
  <r>
    <s v="ORD0097"/>
    <d v="2026-09-01T00:00:00"/>
    <x v="11"/>
    <x v="11"/>
    <x v="1"/>
    <x v="4"/>
    <n v="2"/>
    <n v="12468"/>
    <n v="24936"/>
    <x v="11"/>
    <n v="24936"/>
  </r>
  <r>
    <s v="ORD0098"/>
    <d v="2026-09-24T00:00:00"/>
    <x v="17"/>
    <x v="4"/>
    <x v="3"/>
    <x v="0"/>
    <n v="6"/>
    <n v="2411"/>
    <n v="14466"/>
    <x v="11"/>
    <n v="14466"/>
  </r>
  <r>
    <s v="ORD0099"/>
    <d v="2026-05-27T00:00:00"/>
    <x v="0"/>
    <x v="10"/>
    <x v="3"/>
    <x v="4"/>
    <n v="4"/>
    <n v="1119"/>
    <n v="4476"/>
    <x v="0"/>
    <n v="4476"/>
  </r>
  <r>
    <s v="ORD0100"/>
    <d v="2026-02-11T00:00:00"/>
    <x v="15"/>
    <x v="5"/>
    <x v="3"/>
    <x v="0"/>
    <n v="3"/>
    <n v="850"/>
    <n v="2550"/>
    <x v="9"/>
    <n v="2550"/>
  </r>
  <r>
    <s v="ORD0101"/>
    <d v="2026-12-28T00:00:00"/>
    <x v="9"/>
    <x v="4"/>
    <x v="3"/>
    <x v="3"/>
    <n v="4"/>
    <n v="2578"/>
    <n v="10312"/>
    <x v="7"/>
    <n v="10312"/>
  </r>
  <r>
    <s v="ORD0102"/>
    <d v="2026-08-27T00:00:00"/>
    <x v="13"/>
    <x v="2"/>
    <x v="1"/>
    <x v="3"/>
    <n v="4"/>
    <n v="14594"/>
    <n v="58376"/>
    <x v="10"/>
    <n v="58376"/>
  </r>
  <r>
    <s v="ORD0103"/>
    <d v="2026-10-27T00:00:00"/>
    <x v="16"/>
    <x v="4"/>
    <x v="3"/>
    <x v="1"/>
    <n v="4"/>
    <n v="2456"/>
    <n v="9824"/>
    <x v="1"/>
    <n v="9824"/>
  </r>
  <r>
    <s v="ORD0104"/>
    <d v="2026-06-30T00:00:00"/>
    <x v="19"/>
    <x v="2"/>
    <x v="1"/>
    <x v="2"/>
    <n v="4"/>
    <n v="13814"/>
    <n v="55256"/>
    <x v="5"/>
    <n v="55256"/>
  </r>
  <r>
    <s v="ORD0105"/>
    <d v="2026-10-07T00:00:00"/>
    <x v="5"/>
    <x v="2"/>
    <x v="1"/>
    <x v="0"/>
    <n v="5"/>
    <n v="15594"/>
    <n v="77970"/>
    <x v="1"/>
    <n v="77970"/>
  </r>
  <r>
    <s v="ORD0106"/>
    <d v="2026-09-06T00:00:00"/>
    <x v="16"/>
    <x v="11"/>
    <x v="1"/>
    <x v="2"/>
    <n v="2"/>
    <n v="11564"/>
    <n v="23128"/>
    <x v="11"/>
    <n v="23128"/>
  </r>
  <r>
    <s v="ORD0107"/>
    <d v="2026-07-27T00:00:00"/>
    <x v="3"/>
    <x v="5"/>
    <x v="3"/>
    <x v="2"/>
    <n v="6"/>
    <n v="823"/>
    <n v="4938"/>
    <x v="8"/>
    <n v="4938"/>
  </r>
  <r>
    <s v="ORD0108"/>
    <d v="2026-07-21T00:00:00"/>
    <x v="10"/>
    <x v="1"/>
    <x v="1"/>
    <x v="1"/>
    <n v="5"/>
    <n v="18098"/>
    <n v="90490"/>
    <x v="8"/>
    <n v="90490"/>
  </r>
  <r>
    <s v="ORD0109"/>
    <d v="2026-08-08T00:00:00"/>
    <x v="15"/>
    <x v="0"/>
    <x v="0"/>
    <x v="2"/>
    <n v="1"/>
    <n v="1680"/>
    <n v="1680"/>
    <x v="10"/>
    <n v="1680"/>
  </r>
  <r>
    <s v="ORD0110"/>
    <d v="2026-06-17T00:00:00"/>
    <x v="9"/>
    <x v="1"/>
    <x v="1"/>
    <x v="2"/>
    <n v="1"/>
    <n v="17309"/>
    <n v="17309"/>
    <x v="5"/>
    <n v="17309"/>
  </r>
  <r>
    <s v="ORD0111"/>
    <d v="2026-07-14T00:00:00"/>
    <x v="8"/>
    <x v="5"/>
    <x v="3"/>
    <x v="2"/>
    <n v="3"/>
    <n v="833"/>
    <n v="2499"/>
    <x v="8"/>
    <n v="2499"/>
  </r>
  <r>
    <s v="ORD0112"/>
    <d v="2026-10-04T00:00:00"/>
    <x v="12"/>
    <x v="10"/>
    <x v="3"/>
    <x v="4"/>
    <n v="1"/>
    <n v="1194"/>
    <n v="1194"/>
    <x v="1"/>
    <n v="1194"/>
  </r>
  <r>
    <s v="ORD0113"/>
    <d v="2026-11-30T00:00:00"/>
    <x v="12"/>
    <x v="4"/>
    <x v="3"/>
    <x v="3"/>
    <n v="6"/>
    <n v="2327"/>
    <n v="13962"/>
    <x v="3"/>
    <n v="13962"/>
  </r>
  <r>
    <s v="ORD0114"/>
    <d v="2026-11-15T00:00:00"/>
    <x v="15"/>
    <x v="4"/>
    <x v="3"/>
    <x v="0"/>
    <n v="2"/>
    <n v="2636"/>
    <n v="5272"/>
    <x v="3"/>
    <n v="5272"/>
  </r>
  <r>
    <s v="ORD0115"/>
    <d v="2026-10-16T00:00:00"/>
    <x v="9"/>
    <x v="1"/>
    <x v="1"/>
    <x v="2"/>
    <n v="4"/>
    <n v="18488"/>
    <n v="73952"/>
    <x v="1"/>
    <n v="73952"/>
  </r>
  <r>
    <s v="ORD0116"/>
    <d v="2026-03-27T00:00:00"/>
    <x v="5"/>
    <x v="9"/>
    <x v="4"/>
    <x v="1"/>
    <n v="3"/>
    <n v="261"/>
    <n v="783"/>
    <x v="6"/>
    <n v="783"/>
  </r>
  <r>
    <s v="ORD0117"/>
    <d v="2026-03-25T00:00:00"/>
    <x v="19"/>
    <x v="9"/>
    <x v="4"/>
    <x v="3"/>
    <n v="6"/>
    <n v="235"/>
    <n v="1410"/>
    <x v="6"/>
    <n v="1410"/>
  </r>
  <r>
    <s v="ORD0118"/>
    <d v="2026-10-22T00:00:00"/>
    <x v="6"/>
    <x v="3"/>
    <x v="2"/>
    <x v="2"/>
    <n v="1"/>
    <n v="7480"/>
    <n v="7480"/>
    <x v="1"/>
    <n v="7480"/>
  </r>
  <r>
    <s v="ORD0119"/>
    <d v="2026-12-20T00:00:00"/>
    <x v="0"/>
    <x v="9"/>
    <x v="4"/>
    <x v="3"/>
    <n v="2"/>
    <n v="233"/>
    <n v="466"/>
    <x v="7"/>
    <n v="466"/>
  </r>
  <r>
    <s v="ORD0120"/>
    <d v="2026-11-04T00:00:00"/>
    <x v="4"/>
    <x v="9"/>
    <x v="4"/>
    <x v="1"/>
    <n v="3"/>
    <n v="264"/>
    <n v="792"/>
    <x v="3"/>
    <n v="792"/>
  </r>
  <r>
    <s v="ORD0121"/>
    <d v="2026-12-05T00:00:00"/>
    <x v="7"/>
    <x v="6"/>
    <x v="1"/>
    <x v="3"/>
    <n v="3"/>
    <n v="45236"/>
    <n v="135708"/>
    <x v="7"/>
    <n v="135708"/>
  </r>
  <r>
    <s v="ORD0122"/>
    <d v="2026-08-04T00:00:00"/>
    <x v="17"/>
    <x v="7"/>
    <x v="2"/>
    <x v="3"/>
    <n v="6"/>
    <n v="8284"/>
    <n v="49704"/>
    <x v="10"/>
    <n v="49704"/>
  </r>
  <r>
    <s v="ORD0123"/>
    <d v="2026-08-24T00:00:00"/>
    <x v="15"/>
    <x v="2"/>
    <x v="1"/>
    <x v="2"/>
    <n v="3"/>
    <n v="15325"/>
    <n v="45975"/>
    <x v="10"/>
    <n v="45975"/>
  </r>
  <r>
    <s v="ORD0124"/>
    <d v="2026-11-30T00:00:00"/>
    <x v="8"/>
    <x v="1"/>
    <x v="1"/>
    <x v="1"/>
    <n v="6"/>
    <n v="18063"/>
    <n v="108378"/>
    <x v="3"/>
    <n v="108378"/>
  </r>
  <r>
    <s v="ORD0125"/>
    <d v="2026-10-31T00:00:00"/>
    <x v="8"/>
    <x v="7"/>
    <x v="2"/>
    <x v="4"/>
    <n v="4"/>
    <n v="8452"/>
    <n v="33808"/>
    <x v="1"/>
    <n v="33808"/>
  </r>
  <r>
    <s v="ORD0126"/>
    <d v="2026-08-19T00:00:00"/>
    <x v="0"/>
    <x v="4"/>
    <x v="3"/>
    <x v="2"/>
    <n v="1"/>
    <n v="2412"/>
    <n v="2412"/>
    <x v="10"/>
    <n v="2412"/>
  </r>
  <r>
    <s v="ORD0127"/>
    <d v="2026-06-22T00:00:00"/>
    <x v="16"/>
    <x v="3"/>
    <x v="2"/>
    <x v="2"/>
    <n v="5"/>
    <n v="7188"/>
    <n v="35940"/>
    <x v="5"/>
    <n v="35940"/>
  </r>
  <r>
    <s v="ORD0128"/>
    <d v="2026-07-01T00:00:00"/>
    <x v="8"/>
    <x v="5"/>
    <x v="3"/>
    <x v="4"/>
    <n v="2"/>
    <n v="798"/>
    <n v="1596"/>
    <x v="8"/>
    <n v="1596"/>
  </r>
  <r>
    <s v="ORD0129"/>
    <d v="2026-05-22T00:00:00"/>
    <x v="2"/>
    <x v="10"/>
    <x v="3"/>
    <x v="3"/>
    <n v="5"/>
    <n v="1239"/>
    <n v="6195"/>
    <x v="0"/>
    <n v="6195"/>
  </r>
  <r>
    <s v="ORD0130"/>
    <d v="2026-07-28T00:00:00"/>
    <x v="17"/>
    <x v="7"/>
    <x v="2"/>
    <x v="1"/>
    <n v="2"/>
    <n v="7936"/>
    <n v="15872"/>
    <x v="8"/>
    <n v="15872"/>
  </r>
  <r>
    <s v="ORD0131"/>
    <d v="2026-12-31T00:00:00"/>
    <x v="17"/>
    <x v="4"/>
    <x v="3"/>
    <x v="2"/>
    <n v="6"/>
    <n v="2490"/>
    <n v="14940"/>
    <x v="7"/>
    <n v="14940"/>
  </r>
  <r>
    <s v="ORD0132"/>
    <d v="2026-07-27T00:00:00"/>
    <x v="0"/>
    <x v="6"/>
    <x v="1"/>
    <x v="4"/>
    <n v="1"/>
    <n v="43518"/>
    <n v="43518"/>
    <x v="8"/>
    <n v="43518"/>
  </r>
  <r>
    <s v="ORD0133"/>
    <d v="2026-10-11T00:00:00"/>
    <x v="14"/>
    <x v="0"/>
    <x v="0"/>
    <x v="4"/>
    <n v="5"/>
    <n v="1762"/>
    <n v="8810"/>
    <x v="1"/>
    <n v="8810"/>
  </r>
  <r>
    <s v="ORD0134"/>
    <d v="2026-06-30T00:00:00"/>
    <x v="11"/>
    <x v="2"/>
    <x v="1"/>
    <x v="4"/>
    <n v="6"/>
    <n v="15121"/>
    <n v="90726"/>
    <x v="5"/>
    <n v="90726"/>
  </r>
  <r>
    <s v="ORD0135"/>
    <d v="2026-04-09T00:00:00"/>
    <x v="18"/>
    <x v="10"/>
    <x v="3"/>
    <x v="3"/>
    <n v="3"/>
    <n v="1148"/>
    <n v="3444"/>
    <x v="2"/>
    <n v="3444"/>
  </r>
  <r>
    <s v="ORD0136"/>
    <d v="2026-12-20T00:00:00"/>
    <x v="3"/>
    <x v="9"/>
    <x v="4"/>
    <x v="0"/>
    <n v="5"/>
    <n v="268"/>
    <n v="1340"/>
    <x v="7"/>
    <n v="1340"/>
  </r>
  <r>
    <s v="ORD0137"/>
    <d v="2026-10-29T00:00:00"/>
    <x v="14"/>
    <x v="4"/>
    <x v="3"/>
    <x v="1"/>
    <n v="6"/>
    <n v="2494"/>
    <n v="14964"/>
    <x v="1"/>
    <n v="14964"/>
  </r>
  <r>
    <s v="ORD0138"/>
    <d v="2026-06-01T00:00:00"/>
    <x v="0"/>
    <x v="10"/>
    <x v="3"/>
    <x v="4"/>
    <n v="1"/>
    <n v="1264"/>
    <n v="1264"/>
    <x v="5"/>
    <n v="1264"/>
  </r>
  <r>
    <s v="ORD0139"/>
    <d v="2026-10-01T00:00:00"/>
    <x v="15"/>
    <x v="1"/>
    <x v="1"/>
    <x v="4"/>
    <n v="3"/>
    <n v="16601"/>
    <n v="49803"/>
    <x v="1"/>
    <n v="49803"/>
  </r>
  <r>
    <s v="ORD0140"/>
    <d v="2026-12-24T00:00:00"/>
    <x v="15"/>
    <x v="6"/>
    <x v="1"/>
    <x v="2"/>
    <n v="1"/>
    <n v="45384"/>
    <n v="45384"/>
    <x v="7"/>
    <n v="45384"/>
  </r>
  <r>
    <s v="ORD0141"/>
    <d v="2026-08-29T00:00:00"/>
    <x v="17"/>
    <x v="8"/>
    <x v="1"/>
    <x v="2"/>
    <n v="1"/>
    <n v="22261"/>
    <n v="22261"/>
    <x v="10"/>
    <n v="22261"/>
  </r>
  <r>
    <s v="ORD0142"/>
    <d v="2026-05-10T00:00:00"/>
    <x v="17"/>
    <x v="5"/>
    <x v="3"/>
    <x v="3"/>
    <n v="2"/>
    <n v="860"/>
    <n v="1720"/>
    <x v="0"/>
    <n v="1720"/>
  </r>
  <r>
    <s v="ORD0143"/>
    <d v="2026-10-23T00:00:00"/>
    <x v="12"/>
    <x v="8"/>
    <x v="1"/>
    <x v="0"/>
    <n v="4"/>
    <n v="21971"/>
    <n v="87884"/>
    <x v="1"/>
    <n v="87884"/>
  </r>
  <r>
    <s v="ORD0144"/>
    <d v="2026-02-13T00:00:00"/>
    <x v="0"/>
    <x v="1"/>
    <x v="1"/>
    <x v="3"/>
    <n v="5"/>
    <n v="19293"/>
    <n v="96465"/>
    <x v="9"/>
    <n v="96465"/>
  </r>
  <r>
    <s v="ORD0145"/>
    <d v="2026-11-13T00:00:00"/>
    <x v="0"/>
    <x v="7"/>
    <x v="2"/>
    <x v="1"/>
    <n v="4"/>
    <n v="8645"/>
    <n v="34580"/>
    <x v="3"/>
    <n v="34580"/>
  </r>
  <r>
    <s v="ORD0146"/>
    <d v="2026-06-02T00:00:00"/>
    <x v="10"/>
    <x v="2"/>
    <x v="1"/>
    <x v="2"/>
    <n v="4"/>
    <n v="15980"/>
    <n v="63920"/>
    <x v="5"/>
    <n v="63920"/>
  </r>
  <r>
    <s v="ORD0147"/>
    <d v="2026-11-09T00:00:00"/>
    <x v="4"/>
    <x v="10"/>
    <x v="3"/>
    <x v="0"/>
    <n v="5"/>
    <n v="1223"/>
    <n v="6115"/>
    <x v="3"/>
    <n v="6115"/>
  </r>
  <r>
    <s v="ORD0148"/>
    <d v="2026-02-11T00:00:00"/>
    <x v="3"/>
    <x v="0"/>
    <x v="0"/>
    <x v="0"/>
    <n v="2"/>
    <n v="1732"/>
    <n v="3464"/>
    <x v="9"/>
    <n v="3464"/>
  </r>
  <r>
    <s v="ORD0149"/>
    <d v="2026-01-02T00:00:00"/>
    <x v="13"/>
    <x v="1"/>
    <x v="1"/>
    <x v="2"/>
    <n v="5"/>
    <n v="16776"/>
    <n v="83880"/>
    <x v="4"/>
    <n v="83880"/>
  </r>
  <r>
    <s v="ORD0150"/>
    <d v="2026-01-17T00:00:00"/>
    <x v="0"/>
    <x v="9"/>
    <x v="4"/>
    <x v="4"/>
    <n v="5"/>
    <n v="249"/>
    <n v="1245"/>
    <x v="4"/>
    <n v="1245"/>
  </r>
  <r>
    <s v="ORD0151"/>
    <d v="2026-08-21T00:00:00"/>
    <x v="1"/>
    <x v="9"/>
    <x v="4"/>
    <x v="0"/>
    <n v="3"/>
    <n v="258"/>
    <n v="774"/>
    <x v="10"/>
    <n v="774"/>
  </r>
  <r>
    <s v="ORD0152"/>
    <d v="2026-04-12T00:00:00"/>
    <x v="13"/>
    <x v="10"/>
    <x v="3"/>
    <x v="3"/>
    <n v="6"/>
    <n v="1217"/>
    <n v="7302"/>
    <x v="2"/>
    <n v="7302"/>
  </r>
  <r>
    <s v="ORD0153"/>
    <d v="2026-05-17T00:00:00"/>
    <x v="15"/>
    <x v="7"/>
    <x v="2"/>
    <x v="3"/>
    <n v="2"/>
    <n v="8701"/>
    <n v="17402"/>
    <x v="0"/>
    <n v="17402"/>
  </r>
  <r>
    <s v="ORD0154"/>
    <d v="2026-11-01T00:00:00"/>
    <x v="10"/>
    <x v="6"/>
    <x v="1"/>
    <x v="4"/>
    <n v="2"/>
    <n v="47107"/>
    <n v="94214"/>
    <x v="3"/>
    <n v="94214"/>
  </r>
  <r>
    <s v="ORD0155"/>
    <d v="2026-06-05T00:00:00"/>
    <x v="6"/>
    <x v="11"/>
    <x v="1"/>
    <x v="4"/>
    <n v="1"/>
    <n v="11940"/>
    <n v="11940"/>
    <x v="5"/>
    <n v="11940"/>
  </r>
  <r>
    <s v="ORD0156"/>
    <d v="2026-02-11T00:00:00"/>
    <x v="5"/>
    <x v="7"/>
    <x v="2"/>
    <x v="3"/>
    <n v="5"/>
    <n v="8492"/>
    <n v="42460"/>
    <x v="9"/>
    <n v="42460"/>
  </r>
  <r>
    <s v="ORD0157"/>
    <d v="2026-05-09T00:00:00"/>
    <x v="16"/>
    <x v="2"/>
    <x v="1"/>
    <x v="3"/>
    <n v="6"/>
    <n v="14574"/>
    <n v="87444"/>
    <x v="0"/>
    <n v="87444"/>
  </r>
  <r>
    <s v="ORD0158"/>
    <d v="2026-10-22T00:00:00"/>
    <x v="10"/>
    <x v="4"/>
    <x v="3"/>
    <x v="3"/>
    <n v="6"/>
    <n v="2634"/>
    <n v="15804"/>
    <x v="1"/>
    <n v="15804"/>
  </r>
  <r>
    <s v="ORD0159"/>
    <d v="2026-03-31T00:00:00"/>
    <x v="17"/>
    <x v="0"/>
    <x v="0"/>
    <x v="1"/>
    <n v="3"/>
    <n v="1822"/>
    <n v="5466"/>
    <x v="6"/>
    <n v="5466"/>
  </r>
  <r>
    <s v="ORD0160"/>
    <d v="2026-04-03T00:00:00"/>
    <x v="10"/>
    <x v="0"/>
    <x v="0"/>
    <x v="2"/>
    <n v="4"/>
    <n v="1920"/>
    <n v="7680"/>
    <x v="2"/>
    <n v="7680"/>
  </r>
  <r>
    <s v="ORD0161"/>
    <d v="2026-08-29T00:00:00"/>
    <x v="7"/>
    <x v="0"/>
    <x v="0"/>
    <x v="2"/>
    <n v="4"/>
    <n v="1935"/>
    <n v="7740"/>
    <x v="10"/>
    <n v="7740"/>
  </r>
  <r>
    <s v="ORD0162"/>
    <d v="2026-03-24T00:00:00"/>
    <x v="18"/>
    <x v="5"/>
    <x v="3"/>
    <x v="2"/>
    <n v="3"/>
    <n v="822"/>
    <n v="2466"/>
    <x v="6"/>
    <n v="2466"/>
  </r>
  <r>
    <s v="ORD0163"/>
    <d v="2026-07-25T00:00:00"/>
    <x v="2"/>
    <x v="9"/>
    <x v="4"/>
    <x v="3"/>
    <n v="4"/>
    <n v="242"/>
    <n v="968"/>
    <x v="8"/>
    <n v="968"/>
  </r>
  <r>
    <s v="ORD0164"/>
    <d v="2026-06-15T00:00:00"/>
    <x v="4"/>
    <x v="11"/>
    <x v="1"/>
    <x v="2"/>
    <n v="1"/>
    <n v="11644"/>
    <n v="11644"/>
    <x v="5"/>
    <n v="11644"/>
  </r>
  <r>
    <s v="ORD0165"/>
    <d v="2026-10-05T00:00:00"/>
    <x v="11"/>
    <x v="7"/>
    <x v="2"/>
    <x v="2"/>
    <n v="1"/>
    <n v="8714"/>
    <n v="8714"/>
    <x v="1"/>
    <n v="8714"/>
  </r>
  <r>
    <s v="ORD0166"/>
    <d v="2026-11-15T00:00:00"/>
    <x v="17"/>
    <x v="6"/>
    <x v="1"/>
    <x v="2"/>
    <n v="2"/>
    <n v="45133"/>
    <n v="90266"/>
    <x v="3"/>
    <n v="90266"/>
  </r>
  <r>
    <s v="ORD0167"/>
    <d v="2026-03-09T00:00:00"/>
    <x v="19"/>
    <x v="6"/>
    <x v="1"/>
    <x v="2"/>
    <n v="2"/>
    <n v="43323"/>
    <n v="86646"/>
    <x v="6"/>
    <n v="86646"/>
  </r>
  <r>
    <s v="ORD0168"/>
    <d v="2026-11-19T00:00:00"/>
    <x v="5"/>
    <x v="9"/>
    <x v="4"/>
    <x v="0"/>
    <n v="4"/>
    <n v="235"/>
    <n v="940"/>
    <x v="3"/>
    <n v="940"/>
  </r>
  <r>
    <s v="ORD0169"/>
    <d v="2026-01-08T00:00:00"/>
    <x v="2"/>
    <x v="9"/>
    <x v="4"/>
    <x v="2"/>
    <n v="2"/>
    <n v="242"/>
    <n v="484"/>
    <x v="4"/>
    <n v="484"/>
  </r>
  <r>
    <s v="ORD0170"/>
    <d v="2026-02-28T00:00:00"/>
    <x v="11"/>
    <x v="8"/>
    <x v="1"/>
    <x v="3"/>
    <n v="2"/>
    <n v="23733"/>
    <n v="47466"/>
    <x v="9"/>
    <n v="47466"/>
  </r>
  <r>
    <s v="ORD0171"/>
    <d v="2026-05-30T00:00:00"/>
    <x v="14"/>
    <x v="0"/>
    <x v="0"/>
    <x v="4"/>
    <n v="2"/>
    <n v="1800"/>
    <n v="3600"/>
    <x v="0"/>
    <n v="3600"/>
  </r>
  <r>
    <s v="ORD0172"/>
    <d v="2026-05-05T00:00:00"/>
    <x v="11"/>
    <x v="2"/>
    <x v="1"/>
    <x v="1"/>
    <n v="4"/>
    <n v="16153"/>
    <n v="64612"/>
    <x v="0"/>
    <n v="64612"/>
  </r>
  <r>
    <s v="ORD0173"/>
    <d v="2026-11-03T00:00:00"/>
    <x v="14"/>
    <x v="1"/>
    <x v="1"/>
    <x v="0"/>
    <n v="4"/>
    <n v="17109"/>
    <n v="68436"/>
    <x v="3"/>
    <n v="68436"/>
  </r>
  <r>
    <s v="ORD0174"/>
    <d v="2026-08-01T00:00:00"/>
    <x v="18"/>
    <x v="8"/>
    <x v="1"/>
    <x v="1"/>
    <n v="3"/>
    <n v="22960"/>
    <n v="68880"/>
    <x v="10"/>
    <n v="68880"/>
  </r>
  <r>
    <s v="ORD0175"/>
    <d v="2026-06-02T00:00:00"/>
    <x v="10"/>
    <x v="10"/>
    <x v="3"/>
    <x v="1"/>
    <n v="1"/>
    <n v="1158"/>
    <n v="1158"/>
    <x v="5"/>
    <n v="1158"/>
  </r>
  <r>
    <s v="ORD0176"/>
    <d v="2026-08-17T00:00:00"/>
    <x v="2"/>
    <x v="0"/>
    <x v="0"/>
    <x v="2"/>
    <n v="4"/>
    <n v="1905"/>
    <n v="7620"/>
    <x v="10"/>
    <n v="7620"/>
  </r>
  <r>
    <s v="ORD0177"/>
    <d v="2026-10-06T00:00:00"/>
    <x v="6"/>
    <x v="5"/>
    <x v="3"/>
    <x v="2"/>
    <n v="3"/>
    <n v="807"/>
    <n v="2421"/>
    <x v="1"/>
    <n v="2421"/>
  </r>
  <r>
    <s v="ORD0178"/>
    <d v="2026-05-03T00:00:00"/>
    <x v="10"/>
    <x v="5"/>
    <x v="3"/>
    <x v="2"/>
    <n v="2"/>
    <n v="862"/>
    <n v="1724"/>
    <x v="0"/>
    <n v="1724"/>
  </r>
  <r>
    <s v="ORD0179"/>
    <d v="2026-08-31T00:00:00"/>
    <x v="6"/>
    <x v="4"/>
    <x v="3"/>
    <x v="2"/>
    <n v="4"/>
    <n v="2317"/>
    <n v="9268"/>
    <x v="10"/>
    <n v="9268"/>
  </r>
  <r>
    <s v="ORD0180"/>
    <d v="2026-09-11T00:00:00"/>
    <x v="12"/>
    <x v="0"/>
    <x v="0"/>
    <x v="0"/>
    <n v="6"/>
    <n v="1938"/>
    <n v="11628"/>
    <x v="11"/>
    <n v="11628"/>
  </r>
  <r>
    <s v="ORD0181"/>
    <d v="2026-02-21T00:00:00"/>
    <x v="11"/>
    <x v="7"/>
    <x v="2"/>
    <x v="3"/>
    <n v="5"/>
    <n v="8272"/>
    <n v="41360"/>
    <x v="9"/>
    <n v="41360"/>
  </r>
  <r>
    <s v="ORD0182"/>
    <d v="2026-03-15T00:00:00"/>
    <x v="13"/>
    <x v="7"/>
    <x v="2"/>
    <x v="0"/>
    <n v="4"/>
    <n v="7841"/>
    <n v="31364"/>
    <x v="6"/>
    <n v="31364"/>
  </r>
  <r>
    <s v="ORD0183"/>
    <d v="2026-05-16T00:00:00"/>
    <x v="18"/>
    <x v="8"/>
    <x v="1"/>
    <x v="1"/>
    <n v="4"/>
    <n v="22991"/>
    <n v="91964"/>
    <x v="0"/>
    <n v="91964"/>
  </r>
  <r>
    <s v="ORD0184"/>
    <d v="2026-06-18T00:00:00"/>
    <x v="2"/>
    <x v="9"/>
    <x v="4"/>
    <x v="2"/>
    <n v="4"/>
    <n v="256"/>
    <n v="1024"/>
    <x v="5"/>
    <n v="1024"/>
  </r>
  <r>
    <s v="ORD0185"/>
    <d v="2026-09-07T00:00:00"/>
    <x v="2"/>
    <x v="5"/>
    <x v="3"/>
    <x v="3"/>
    <n v="6"/>
    <n v="828"/>
    <n v="4968"/>
    <x v="11"/>
    <n v="4968"/>
  </r>
  <r>
    <s v="ORD0186"/>
    <d v="2026-12-17T00:00:00"/>
    <x v="19"/>
    <x v="3"/>
    <x v="2"/>
    <x v="0"/>
    <n v="1"/>
    <n v="6703"/>
    <n v="6703"/>
    <x v="7"/>
    <n v="6703"/>
  </r>
  <r>
    <s v="ORD0187"/>
    <d v="2026-02-20T00:00:00"/>
    <x v="4"/>
    <x v="9"/>
    <x v="4"/>
    <x v="2"/>
    <n v="1"/>
    <n v="247"/>
    <n v="247"/>
    <x v="9"/>
    <n v="247"/>
  </r>
  <r>
    <s v="ORD0188"/>
    <d v="2026-01-15T00:00:00"/>
    <x v="12"/>
    <x v="1"/>
    <x v="1"/>
    <x v="4"/>
    <n v="6"/>
    <n v="17422"/>
    <n v="104532"/>
    <x v="4"/>
    <n v="104532"/>
  </r>
  <r>
    <s v="ORD0189"/>
    <d v="2026-08-09T00:00:00"/>
    <x v="15"/>
    <x v="6"/>
    <x v="1"/>
    <x v="0"/>
    <n v="3"/>
    <n v="43981"/>
    <n v="131943"/>
    <x v="10"/>
    <n v="131943"/>
  </r>
  <r>
    <s v="ORD0190"/>
    <d v="2026-04-03T00:00:00"/>
    <x v="3"/>
    <x v="7"/>
    <x v="2"/>
    <x v="0"/>
    <n v="4"/>
    <n v="8590"/>
    <n v="34360"/>
    <x v="2"/>
    <n v="34360"/>
  </r>
  <r>
    <s v="ORD0191"/>
    <d v="2026-11-14T00:00:00"/>
    <x v="0"/>
    <x v="8"/>
    <x v="1"/>
    <x v="2"/>
    <n v="5"/>
    <n v="23305"/>
    <n v="116525"/>
    <x v="3"/>
    <n v="116525"/>
  </r>
  <r>
    <s v="ORD0192"/>
    <d v="2026-11-23T00:00:00"/>
    <x v="8"/>
    <x v="3"/>
    <x v="2"/>
    <x v="2"/>
    <n v="2"/>
    <n v="6700"/>
    <n v="13400"/>
    <x v="3"/>
    <n v="13400"/>
  </r>
  <r>
    <s v="ORD0193"/>
    <d v="2026-08-27T00:00:00"/>
    <x v="19"/>
    <x v="10"/>
    <x v="3"/>
    <x v="1"/>
    <n v="6"/>
    <n v="1106"/>
    <n v="6636"/>
    <x v="10"/>
    <n v="6636"/>
  </r>
  <r>
    <s v="ORD0194"/>
    <d v="2026-06-26T00:00:00"/>
    <x v="10"/>
    <x v="1"/>
    <x v="1"/>
    <x v="4"/>
    <n v="1"/>
    <n v="17832"/>
    <n v="17832"/>
    <x v="5"/>
    <n v="17832"/>
  </r>
  <r>
    <s v="ORD0195"/>
    <d v="2026-08-22T00:00:00"/>
    <x v="19"/>
    <x v="0"/>
    <x v="0"/>
    <x v="0"/>
    <n v="4"/>
    <n v="1855"/>
    <n v="7420"/>
    <x v="10"/>
    <n v="7420"/>
  </r>
  <r>
    <s v="ORD0196"/>
    <d v="2026-07-15T00:00:00"/>
    <x v="10"/>
    <x v="2"/>
    <x v="1"/>
    <x v="4"/>
    <n v="4"/>
    <n v="14056"/>
    <n v="56224"/>
    <x v="8"/>
    <n v="56224"/>
  </r>
  <r>
    <s v="ORD0197"/>
    <d v="2026-06-01T00:00:00"/>
    <x v="16"/>
    <x v="3"/>
    <x v="2"/>
    <x v="2"/>
    <n v="3"/>
    <n v="7552"/>
    <n v="22656"/>
    <x v="5"/>
    <n v="22656"/>
  </r>
  <r>
    <s v="ORD0198"/>
    <d v="2026-12-18T00:00:00"/>
    <x v="12"/>
    <x v="10"/>
    <x v="3"/>
    <x v="1"/>
    <n v="1"/>
    <n v="1213"/>
    <n v="1213"/>
    <x v="7"/>
    <n v="1213"/>
  </r>
  <r>
    <s v="ORD0199"/>
    <d v="2026-05-27T00:00:00"/>
    <x v="0"/>
    <x v="9"/>
    <x v="4"/>
    <x v="1"/>
    <n v="4"/>
    <n v="263"/>
    <n v="1052"/>
    <x v="0"/>
    <n v="1052"/>
  </r>
  <r>
    <s v="ORD0200"/>
    <d v="2026-11-14T00:00:00"/>
    <x v="8"/>
    <x v="5"/>
    <x v="3"/>
    <x v="0"/>
    <n v="2"/>
    <n v="817"/>
    <n v="1634"/>
    <x v="3"/>
    <n v="1634"/>
  </r>
  <r>
    <s v="ORD0201"/>
    <d v="2026-11-27T00:00:00"/>
    <x v="12"/>
    <x v="0"/>
    <x v="0"/>
    <x v="4"/>
    <n v="1"/>
    <n v="1916"/>
    <n v="1916"/>
    <x v="3"/>
    <n v="1916"/>
  </r>
  <r>
    <s v="ORD0202"/>
    <d v="2026-03-09T00:00:00"/>
    <x v="1"/>
    <x v="11"/>
    <x v="1"/>
    <x v="4"/>
    <n v="1"/>
    <n v="12153"/>
    <n v="12153"/>
    <x v="6"/>
    <n v="12153"/>
  </r>
  <r>
    <s v="ORD0203"/>
    <d v="2026-04-13T00:00:00"/>
    <x v="15"/>
    <x v="5"/>
    <x v="3"/>
    <x v="1"/>
    <n v="6"/>
    <n v="789"/>
    <n v="4734"/>
    <x v="2"/>
    <n v="4734"/>
  </r>
  <r>
    <s v="ORD0204"/>
    <d v="2026-05-20T00:00:00"/>
    <x v="3"/>
    <x v="5"/>
    <x v="3"/>
    <x v="4"/>
    <n v="5"/>
    <n v="800"/>
    <n v="4000"/>
    <x v="0"/>
    <n v="4000"/>
  </r>
  <r>
    <s v="ORD0205"/>
    <d v="2026-06-23T00:00:00"/>
    <x v="4"/>
    <x v="11"/>
    <x v="1"/>
    <x v="2"/>
    <n v="3"/>
    <n v="12473"/>
    <n v="37419"/>
    <x v="5"/>
    <n v="37419"/>
  </r>
  <r>
    <s v="ORD0206"/>
    <d v="2026-04-26T00:00:00"/>
    <x v="6"/>
    <x v="8"/>
    <x v="1"/>
    <x v="1"/>
    <n v="2"/>
    <n v="22895"/>
    <n v="45790"/>
    <x v="2"/>
    <n v="45790"/>
  </r>
  <r>
    <s v="ORD0207"/>
    <d v="2026-01-08T00:00:00"/>
    <x v="8"/>
    <x v="5"/>
    <x v="3"/>
    <x v="1"/>
    <n v="1"/>
    <n v="837"/>
    <n v="837"/>
    <x v="4"/>
    <n v="837"/>
  </r>
  <r>
    <s v="ORD0208"/>
    <d v="2026-12-11T00:00:00"/>
    <x v="8"/>
    <x v="8"/>
    <x v="1"/>
    <x v="1"/>
    <n v="4"/>
    <n v="21537"/>
    <n v="86148"/>
    <x v="7"/>
    <n v="86148"/>
  </r>
  <r>
    <s v="ORD0209"/>
    <d v="2026-02-25T00:00:00"/>
    <x v="0"/>
    <x v="2"/>
    <x v="1"/>
    <x v="2"/>
    <n v="6"/>
    <n v="16057"/>
    <n v="96342"/>
    <x v="9"/>
    <n v="96342"/>
  </r>
  <r>
    <s v="ORD0210"/>
    <d v="2026-10-15T00:00:00"/>
    <x v="18"/>
    <x v="6"/>
    <x v="1"/>
    <x v="1"/>
    <n v="5"/>
    <n v="47766"/>
    <n v="238830"/>
    <x v="1"/>
    <n v="238830"/>
  </r>
  <r>
    <s v="ORD0211"/>
    <d v="2026-08-26T00:00:00"/>
    <x v="19"/>
    <x v="4"/>
    <x v="3"/>
    <x v="2"/>
    <n v="6"/>
    <n v="2325"/>
    <n v="13950"/>
    <x v="10"/>
    <n v="13950"/>
  </r>
  <r>
    <s v="ORD0212"/>
    <d v="2026-01-20T00:00:00"/>
    <x v="19"/>
    <x v="8"/>
    <x v="1"/>
    <x v="2"/>
    <n v="2"/>
    <n v="20400"/>
    <n v="40800"/>
    <x v="4"/>
    <n v="40800"/>
  </r>
  <r>
    <s v="ORD0213"/>
    <d v="2026-10-03T00:00:00"/>
    <x v="15"/>
    <x v="8"/>
    <x v="1"/>
    <x v="2"/>
    <n v="1"/>
    <n v="21066"/>
    <n v="21066"/>
    <x v="1"/>
    <n v="21066"/>
  </r>
  <r>
    <s v="ORD0214"/>
    <d v="2026-12-23T00:00:00"/>
    <x v="2"/>
    <x v="11"/>
    <x v="1"/>
    <x v="2"/>
    <n v="3"/>
    <n v="12327"/>
    <n v="36981"/>
    <x v="7"/>
    <n v="36981"/>
  </r>
  <r>
    <s v="ORD0215"/>
    <d v="2026-08-01T00:00:00"/>
    <x v="4"/>
    <x v="3"/>
    <x v="2"/>
    <x v="2"/>
    <n v="6"/>
    <n v="7254"/>
    <n v="43524"/>
    <x v="10"/>
    <n v="43524"/>
  </r>
  <r>
    <s v="ORD0216"/>
    <d v="2026-05-24T00:00:00"/>
    <x v="12"/>
    <x v="3"/>
    <x v="2"/>
    <x v="4"/>
    <n v="4"/>
    <n v="7492"/>
    <n v="29968"/>
    <x v="0"/>
    <n v="29968"/>
  </r>
  <r>
    <s v="ORD0217"/>
    <d v="2026-05-01T00:00:00"/>
    <x v="7"/>
    <x v="4"/>
    <x v="3"/>
    <x v="3"/>
    <n v="4"/>
    <n v="2478"/>
    <n v="9912"/>
    <x v="0"/>
    <n v="9912"/>
  </r>
  <r>
    <s v="ORD0218"/>
    <d v="2026-11-27T00:00:00"/>
    <x v="7"/>
    <x v="0"/>
    <x v="0"/>
    <x v="3"/>
    <n v="3"/>
    <n v="1813"/>
    <n v="5439"/>
    <x v="3"/>
    <n v="5439"/>
  </r>
  <r>
    <s v="ORD0219"/>
    <d v="2026-03-04T00:00:00"/>
    <x v="11"/>
    <x v="2"/>
    <x v="1"/>
    <x v="3"/>
    <n v="3"/>
    <n v="14256"/>
    <n v="42768"/>
    <x v="6"/>
    <n v="42768"/>
  </r>
  <r>
    <s v="ORD0220"/>
    <d v="2026-11-02T00:00:00"/>
    <x v="16"/>
    <x v="0"/>
    <x v="0"/>
    <x v="3"/>
    <n v="2"/>
    <n v="1841"/>
    <n v="3682"/>
    <x v="3"/>
    <n v="3682"/>
  </r>
  <r>
    <s v="ORD0221"/>
    <d v="2026-10-17T00:00:00"/>
    <x v="9"/>
    <x v="5"/>
    <x v="3"/>
    <x v="3"/>
    <n v="2"/>
    <n v="863"/>
    <n v="1726"/>
    <x v="1"/>
    <n v="1726"/>
  </r>
  <r>
    <s v="ORD0222"/>
    <d v="2026-04-30T00:00:00"/>
    <x v="18"/>
    <x v="7"/>
    <x v="2"/>
    <x v="0"/>
    <n v="2"/>
    <n v="8617"/>
    <n v="17234"/>
    <x v="2"/>
    <n v="17234"/>
  </r>
  <r>
    <s v="ORD0223"/>
    <d v="2026-03-16T00:00:00"/>
    <x v="15"/>
    <x v="3"/>
    <x v="2"/>
    <x v="1"/>
    <n v="1"/>
    <n v="6751"/>
    <n v="6751"/>
    <x v="6"/>
    <n v="6751"/>
  </r>
  <r>
    <s v="ORD0224"/>
    <d v="2026-01-14T00:00:00"/>
    <x v="15"/>
    <x v="10"/>
    <x v="3"/>
    <x v="3"/>
    <n v="2"/>
    <n v="1125"/>
    <n v="2250"/>
    <x v="4"/>
    <n v="2250"/>
  </r>
  <r>
    <s v="ORD0225"/>
    <d v="2026-01-09T00:00:00"/>
    <x v="3"/>
    <x v="5"/>
    <x v="3"/>
    <x v="4"/>
    <n v="2"/>
    <n v="811"/>
    <n v="1622"/>
    <x v="4"/>
    <n v="1622"/>
  </r>
  <r>
    <s v="ORD0226"/>
    <d v="2026-09-27T00:00:00"/>
    <x v="4"/>
    <x v="6"/>
    <x v="1"/>
    <x v="3"/>
    <n v="2"/>
    <n v="46740"/>
    <n v="93480"/>
    <x v="11"/>
    <n v="93480"/>
  </r>
  <r>
    <s v="ORD0227"/>
    <d v="2026-09-20T00:00:00"/>
    <x v="10"/>
    <x v="11"/>
    <x v="1"/>
    <x v="3"/>
    <n v="4"/>
    <n v="12534"/>
    <n v="50136"/>
    <x v="11"/>
    <n v="50136"/>
  </r>
  <r>
    <s v="ORD0228"/>
    <d v="2026-11-11T00:00:00"/>
    <x v="12"/>
    <x v="11"/>
    <x v="1"/>
    <x v="1"/>
    <n v="5"/>
    <n v="11465"/>
    <n v="57325"/>
    <x v="3"/>
    <n v="57325"/>
  </r>
  <r>
    <s v="ORD0229"/>
    <d v="2026-01-16T00:00:00"/>
    <x v="12"/>
    <x v="10"/>
    <x v="3"/>
    <x v="2"/>
    <n v="4"/>
    <n v="1228"/>
    <n v="4912"/>
    <x v="4"/>
    <n v="4912"/>
  </r>
  <r>
    <s v="ORD0230"/>
    <d v="2026-09-09T00:00:00"/>
    <x v="11"/>
    <x v="2"/>
    <x v="1"/>
    <x v="3"/>
    <n v="4"/>
    <n v="15447"/>
    <n v="61788"/>
    <x v="11"/>
    <n v="61788"/>
  </r>
  <r>
    <s v="ORD0231"/>
    <d v="2026-02-03T00:00:00"/>
    <x v="15"/>
    <x v="8"/>
    <x v="1"/>
    <x v="4"/>
    <n v="3"/>
    <n v="22381"/>
    <n v="67143"/>
    <x v="9"/>
    <n v="67143"/>
  </r>
  <r>
    <s v="ORD0232"/>
    <d v="2026-12-31T00:00:00"/>
    <x v="18"/>
    <x v="3"/>
    <x v="2"/>
    <x v="2"/>
    <n v="6"/>
    <n v="7096"/>
    <n v="42576"/>
    <x v="7"/>
    <n v="42576"/>
  </r>
  <r>
    <s v="ORD0233"/>
    <d v="2026-09-16T00:00:00"/>
    <x v="5"/>
    <x v="3"/>
    <x v="2"/>
    <x v="2"/>
    <n v="5"/>
    <n v="6770"/>
    <n v="33850"/>
    <x v="11"/>
    <n v="33850"/>
  </r>
  <r>
    <s v="ORD0234"/>
    <d v="2026-12-02T00:00:00"/>
    <x v="2"/>
    <x v="8"/>
    <x v="1"/>
    <x v="0"/>
    <n v="6"/>
    <n v="20643"/>
    <n v="123858"/>
    <x v="7"/>
    <n v="123858"/>
  </r>
  <r>
    <s v="ORD0235"/>
    <d v="2026-07-31T00:00:00"/>
    <x v="18"/>
    <x v="2"/>
    <x v="1"/>
    <x v="2"/>
    <n v="4"/>
    <n v="15931"/>
    <n v="63724"/>
    <x v="8"/>
    <n v="63724"/>
  </r>
  <r>
    <s v="ORD0236"/>
    <d v="2026-06-10T00:00:00"/>
    <x v="13"/>
    <x v="2"/>
    <x v="1"/>
    <x v="4"/>
    <n v="4"/>
    <n v="15551"/>
    <n v="62204"/>
    <x v="5"/>
    <n v="62204"/>
  </r>
  <r>
    <s v="ORD0237"/>
    <d v="2026-03-20T00:00:00"/>
    <x v="17"/>
    <x v="0"/>
    <x v="0"/>
    <x v="3"/>
    <n v="3"/>
    <n v="1764"/>
    <n v="5292"/>
    <x v="6"/>
    <n v="5292"/>
  </r>
  <r>
    <s v="ORD0238"/>
    <d v="2026-02-19T00:00:00"/>
    <x v="7"/>
    <x v="8"/>
    <x v="1"/>
    <x v="0"/>
    <n v="1"/>
    <n v="20568"/>
    <n v="20568"/>
    <x v="9"/>
    <n v="20568"/>
  </r>
  <r>
    <s v="ORD0239"/>
    <d v="2026-10-15T00:00:00"/>
    <x v="2"/>
    <x v="7"/>
    <x v="2"/>
    <x v="4"/>
    <n v="1"/>
    <n v="8618"/>
    <n v="8618"/>
    <x v="1"/>
    <n v="8618"/>
  </r>
  <r>
    <s v="ORD0240"/>
    <d v="2026-12-07T00:00:00"/>
    <x v="13"/>
    <x v="0"/>
    <x v="0"/>
    <x v="3"/>
    <n v="1"/>
    <n v="1774"/>
    <n v="1774"/>
    <x v="7"/>
    <n v="1774"/>
  </r>
  <r>
    <s v="ORD0241"/>
    <d v="2026-02-23T00:00:00"/>
    <x v="10"/>
    <x v="10"/>
    <x v="3"/>
    <x v="1"/>
    <n v="5"/>
    <n v="1164"/>
    <n v="5820"/>
    <x v="9"/>
    <n v="5820"/>
  </r>
  <r>
    <s v="ORD0242"/>
    <d v="2026-04-25T00:00:00"/>
    <x v="4"/>
    <x v="4"/>
    <x v="3"/>
    <x v="4"/>
    <n v="2"/>
    <n v="2563"/>
    <n v="5126"/>
    <x v="2"/>
    <n v="5126"/>
  </r>
  <r>
    <s v="ORD0243"/>
    <d v="2026-05-23T00:00:00"/>
    <x v="10"/>
    <x v="7"/>
    <x v="2"/>
    <x v="0"/>
    <n v="3"/>
    <n v="7976"/>
    <n v="23928"/>
    <x v="0"/>
    <n v="23928"/>
  </r>
  <r>
    <s v="ORD0244"/>
    <d v="2026-11-15T00:00:00"/>
    <x v="5"/>
    <x v="2"/>
    <x v="1"/>
    <x v="1"/>
    <n v="5"/>
    <n v="16139"/>
    <n v="80695"/>
    <x v="3"/>
    <n v="80695"/>
  </r>
  <r>
    <s v="ORD0245"/>
    <d v="2026-12-22T00:00:00"/>
    <x v="8"/>
    <x v="6"/>
    <x v="1"/>
    <x v="3"/>
    <n v="5"/>
    <n v="48089"/>
    <n v="240445"/>
    <x v="7"/>
    <n v="240445"/>
  </r>
  <r>
    <s v="ORD0246"/>
    <d v="2026-06-08T00:00:00"/>
    <x v="18"/>
    <x v="1"/>
    <x v="1"/>
    <x v="4"/>
    <n v="3"/>
    <n v="18584"/>
    <n v="55752"/>
    <x v="5"/>
    <n v="55752"/>
  </r>
  <r>
    <s v="ORD0247"/>
    <d v="2026-10-17T00:00:00"/>
    <x v="6"/>
    <x v="6"/>
    <x v="1"/>
    <x v="3"/>
    <n v="2"/>
    <n v="47663"/>
    <n v="95326"/>
    <x v="1"/>
    <n v="95326"/>
  </r>
  <r>
    <s v="ORD0248"/>
    <d v="2026-01-16T00:00:00"/>
    <x v="1"/>
    <x v="1"/>
    <x v="1"/>
    <x v="1"/>
    <n v="6"/>
    <n v="18384"/>
    <n v="110304"/>
    <x v="4"/>
    <n v="110304"/>
  </r>
  <r>
    <s v="ORD0249"/>
    <d v="2026-06-24T00:00:00"/>
    <x v="3"/>
    <x v="4"/>
    <x v="3"/>
    <x v="4"/>
    <n v="4"/>
    <n v="2468"/>
    <n v="9872"/>
    <x v="5"/>
    <n v="9872"/>
  </r>
  <r>
    <s v="ORD0250"/>
    <d v="2026-10-18T00:00:00"/>
    <x v="5"/>
    <x v="10"/>
    <x v="3"/>
    <x v="3"/>
    <n v="6"/>
    <n v="1166"/>
    <n v="6996"/>
    <x v="1"/>
    <n v="6996"/>
  </r>
  <r>
    <s v="ORD0251"/>
    <d v="2026-11-13T00:00:00"/>
    <x v="12"/>
    <x v="6"/>
    <x v="1"/>
    <x v="3"/>
    <n v="2"/>
    <n v="42533"/>
    <n v="85066"/>
    <x v="3"/>
    <n v="85066"/>
  </r>
  <r>
    <s v="ORD0252"/>
    <d v="2026-09-06T00:00:00"/>
    <x v="5"/>
    <x v="10"/>
    <x v="3"/>
    <x v="2"/>
    <n v="4"/>
    <n v="1231"/>
    <n v="4924"/>
    <x v="11"/>
    <n v="4924"/>
  </r>
  <r>
    <s v="ORD0253"/>
    <d v="2026-09-20T00:00:00"/>
    <x v="4"/>
    <x v="2"/>
    <x v="1"/>
    <x v="4"/>
    <n v="3"/>
    <n v="14317"/>
    <n v="42951"/>
    <x v="11"/>
    <n v="42951"/>
  </r>
  <r>
    <s v="ORD0254"/>
    <d v="2026-12-14T00:00:00"/>
    <x v="10"/>
    <x v="2"/>
    <x v="1"/>
    <x v="2"/>
    <n v="1"/>
    <n v="14480"/>
    <n v="14480"/>
    <x v="7"/>
    <n v="14480"/>
  </r>
  <r>
    <s v="ORD0255"/>
    <d v="2026-04-23T00:00:00"/>
    <x v="6"/>
    <x v="7"/>
    <x v="2"/>
    <x v="1"/>
    <n v="6"/>
    <n v="8239"/>
    <n v="49434"/>
    <x v="2"/>
    <n v="49434"/>
  </r>
  <r>
    <s v="ORD0256"/>
    <d v="2026-04-19T00:00:00"/>
    <x v="15"/>
    <x v="6"/>
    <x v="1"/>
    <x v="4"/>
    <n v="1"/>
    <n v="42872"/>
    <n v="42872"/>
    <x v="2"/>
    <n v="42872"/>
  </r>
  <r>
    <s v="ORD0257"/>
    <d v="2026-09-12T00:00:00"/>
    <x v="13"/>
    <x v="10"/>
    <x v="3"/>
    <x v="0"/>
    <n v="3"/>
    <n v="1127"/>
    <n v="3381"/>
    <x v="11"/>
    <n v="3381"/>
  </r>
  <r>
    <s v="ORD0258"/>
    <d v="2026-04-28T00:00:00"/>
    <x v="14"/>
    <x v="1"/>
    <x v="1"/>
    <x v="1"/>
    <n v="4"/>
    <n v="18094"/>
    <n v="72376"/>
    <x v="2"/>
    <n v="72376"/>
  </r>
  <r>
    <s v="ORD0259"/>
    <d v="2026-01-22T00:00:00"/>
    <x v="13"/>
    <x v="0"/>
    <x v="0"/>
    <x v="3"/>
    <n v="3"/>
    <n v="1677"/>
    <n v="5031"/>
    <x v="4"/>
    <n v="5031"/>
  </r>
  <r>
    <s v="ORD0260"/>
    <d v="2026-10-22T00:00:00"/>
    <x v="13"/>
    <x v="11"/>
    <x v="1"/>
    <x v="1"/>
    <n v="1"/>
    <n v="12695"/>
    <n v="12695"/>
    <x v="1"/>
    <n v="12695"/>
  </r>
  <r>
    <s v="ORD0261"/>
    <d v="2026-05-29T00:00:00"/>
    <x v="4"/>
    <x v="2"/>
    <x v="1"/>
    <x v="2"/>
    <n v="6"/>
    <n v="15336"/>
    <n v="92016"/>
    <x v="0"/>
    <n v="92016"/>
  </r>
  <r>
    <s v="ORD0262"/>
    <d v="2026-11-13T00:00:00"/>
    <x v="11"/>
    <x v="6"/>
    <x v="1"/>
    <x v="4"/>
    <n v="3"/>
    <n v="42637"/>
    <n v="127911"/>
    <x v="3"/>
    <n v="127911"/>
  </r>
  <r>
    <s v="ORD0263"/>
    <d v="2026-05-05T00:00:00"/>
    <x v="13"/>
    <x v="8"/>
    <x v="1"/>
    <x v="1"/>
    <n v="4"/>
    <n v="23213"/>
    <n v="92852"/>
    <x v="0"/>
    <n v="92852"/>
  </r>
  <r>
    <s v="ORD0264"/>
    <d v="2026-06-08T00:00:00"/>
    <x v="18"/>
    <x v="2"/>
    <x v="1"/>
    <x v="0"/>
    <n v="5"/>
    <n v="13989"/>
    <n v="69945"/>
    <x v="5"/>
    <n v="69945"/>
  </r>
  <r>
    <s v="ORD0265"/>
    <d v="2026-11-21T00:00:00"/>
    <x v="4"/>
    <x v="5"/>
    <x v="3"/>
    <x v="1"/>
    <n v="2"/>
    <n v="746"/>
    <n v="1492"/>
    <x v="3"/>
    <n v="1492"/>
  </r>
  <r>
    <s v="ORD0266"/>
    <d v="2026-06-28T00:00:00"/>
    <x v="7"/>
    <x v="7"/>
    <x v="2"/>
    <x v="0"/>
    <n v="2"/>
    <n v="9052"/>
    <n v="18104"/>
    <x v="5"/>
    <n v="18104"/>
  </r>
  <r>
    <s v="ORD0267"/>
    <d v="2026-04-12T00:00:00"/>
    <x v="3"/>
    <x v="4"/>
    <x v="3"/>
    <x v="1"/>
    <n v="1"/>
    <n v="2359"/>
    <n v="2359"/>
    <x v="2"/>
    <n v="2359"/>
  </r>
  <r>
    <s v="ORD0268"/>
    <d v="2026-11-18T00:00:00"/>
    <x v="17"/>
    <x v="1"/>
    <x v="1"/>
    <x v="2"/>
    <n v="6"/>
    <n v="16777"/>
    <n v="100662"/>
    <x v="3"/>
    <n v="100662"/>
  </r>
  <r>
    <s v="ORD0269"/>
    <d v="2026-10-17T00:00:00"/>
    <x v="5"/>
    <x v="3"/>
    <x v="2"/>
    <x v="4"/>
    <n v="5"/>
    <n v="6943"/>
    <n v="34715"/>
    <x v="1"/>
    <n v="34715"/>
  </r>
  <r>
    <s v="ORD0270"/>
    <d v="2026-02-04T00:00:00"/>
    <x v="17"/>
    <x v="0"/>
    <x v="0"/>
    <x v="2"/>
    <n v="3"/>
    <n v="1699"/>
    <n v="5097"/>
    <x v="9"/>
    <n v="5097"/>
  </r>
  <r>
    <s v="ORD0271"/>
    <d v="2026-10-30T00:00:00"/>
    <x v="12"/>
    <x v="0"/>
    <x v="0"/>
    <x v="4"/>
    <n v="3"/>
    <n v="1885"/>
    <n v="5655"/>
    <x v="1"/>
    <n v="5655"/>
  </r>
  <r>
    <s v="ORD0272"/>
    <d v="2026-08-20T00:00:00"/>
    <x v="12"/>
    <x v="7"/>
    <x v="2"/>
    <x v="3"/>
    <n v="1"/>
    <n v="8242"/>
    <n v="8242"/>
    <x v="10"/>
    <n v="8242"/>
  </r>
  <r>
    <s v="ORD0273"/>
    <d v="2026-02-16T00:00:00"/>
    <x v="5"/>
    <x v="5"/>
    <x v="3"/>
    <x v="1"/>
    <n v="3"/>
    <n v="746"/>
    <n v="2238"/>
    <x v="9"/>
    <n v="2238"/>
  </r>
  <r>
    <s v="ORD0274"/>
    <d v="2026-10-11T00:00:00"/>
    <x v="12"/>
    <x v="7"/>
    <x v="2"/>
    <x v="2"/>
    <n v="4"/>
    <n v="8449"/>
    <n v="33796"/>
    <x v="1"/>
    <n v="33796"/>
  </r>
  <r>
    <s v="ORD0275"/>
    <d v="2026-11-06T00:00:00"/>
    <x v="17"/>
    <x v="3"/>
    <x v="2"/>
    <x v="1"/>
    <n v="6"/>
    <n v="6651"/>
    <n v="39906"/>
    <x v="3"/>
    <n v="39906"/>
  </r>
  <r>
    <s v="ORD0276"/>
    <d v="2026-06-25T00:00:00"/>
    <x v="1"/>
    <x v="1"/>
    <x v="1"/>
    <x v="1"/>
    <n v="1"/>
    <n v="17858"/>
    <n v="17858"/>
    <x v="5"/>
    <n v="17858"/>
  </r>
  <r>
    <s v="ORD0277"/>
    <d v="2026-12-29T00:00:00"/>
    <x v="11"/>
    <x v="0"/>
    <x v="0"/>
    <x v="2"/>
    <n v="2"/>
    <n v="1667"/>
    <n v="3334"/>
    <x v="7"/>
    <n v="3334"/>
  </r>
  <r>
    <s v="ORD0278"/>
    <d v="2026-07-06T00:00:00"/>
    <x v="7"/>
    <x v="7"/>
    <x v="2"/>
    <x v="4"/>
    <n v="5"/>
    <n v="8649"/>
    <n v="43245"/>
    <x v="8"/>
    <n v="43245"/>
  </r>
  <r>
    <s v="ORD0279"/>
    <d v="2026-12-14T00:00:00"/>
    <x v="5"/>
    <x v="2"/>
    <x v="1"/>
    <x v="3"/>
    <n v="4"/>
    <n v="15659"/>
    <n v="62636"/>
    <x v="7"/>
    <n v="62636"/>
  </r>
  <r>
    <s v="ORD0280"/>
    <d v="2026-06-18T00:00:00"/>
    <x v="4"/>
    <x v="0"/>
    <x v="0"/>
    <x v="1"/>
    <n v="6"/>
    <n v="1752"/>
    <n v="10512"/>
    <x v="5"/>
    <n v="10512"/>
  </r>
  <r>
    <s v="ORD0281"/>
    <d v="2026-12-03T00:00:00"/>
    <x v="5"/>
    <x v="0"/>
    <x v="0"/>
    <x v="0"/>
    <n v="4"/>
    <n v="1738"/>
    <n v="6952"/>
    <x v="7"/>
    <n v="6952"/>
  </r>
  <r>
    <s v="ORD0282"/>
    <d v="2026-03-14T00:00:00"/>
    <x v="7"/>
    <x v="5"/>
    <x v="3"/>
    <x v="4"/>
    <n v="1"/>
    <n v="811"/>
    <n v="811"/>
    <x v="6"/>
    <n v="811"/>
  </r>
  <r>
    <s v="ORD0283"/>
    <d v="2026-03-08T00:00:00"/>
    <x v="5"/>
    <x v="0"/>
    <x v="0"/>
    <x v="3"/>
    <n v="6"/>
    <n v="1847"/>
    <n v="11082"/>
    <x v="6"/>
    <n v="11082"/>
  </r>
  <r>
    <s v="ORD0284"/>
    <d v="2026-06-18T00:00:00"/>
    <x v="15"/>
    <x v="10"/>
    <x v="3"/>
    <x v="1"/>
    <n v="5"/>
    <n v="1176"/>
    <n v="5880"/>
    <x v="5"/>
    <n v="5880"/>
  </r>
  <r>
    <s v="ORD0285"/>
    <d v="2026-09-18T00:00:00"/>
    <x v="7"/>
    <x v="8"/>
    <x v="1"/>
    <x v="3"/>
    <n v="6"/>
    <n v="22600"/>
    <n v="135600"/>
    <x v="11"/>
    <n v="135600"/>
  </r>
  <r>
    <s v="ORD0286"/>
    <d v="2026-04-20T00:00:00"/>
    <x v="18"/>
    <x v="5"/>
    <x v="3"/>
    <x v="2"/>
    <n v="3"/>
    <n v="759"/>
    <n v="2277"/>
    <x v="2"/>
    <n v="2277"/>
  </r>
  <r>
    <s v="ORD0287"/>
    <d v="2026-03-21T00:00:00"/>
    <x v="1"/>
    <x v="4"/>
    <x v="3"/>
    <x v="4"/>
    <n v="2"/>
    <n v="2700"/>
    <n v="5400"/>
    <x v="6"/>
    <n v="5400"/>
  </r>
  <r>
    <s v="ORD0288"/>
    <d v="2026-09-27T00:00:00"/>
    <x v="12"/>
    <x v="8"/>
    <x v="1"/>
    <x v="4"/>
    <n v="5"/>
    <n v="22953"/>
    <n v="114765"/>
    <x v="11"/>
    <n v="114765"/>
  </r>
  <r>
    <s v="ORD0289"/>
    <d v="2026-03-20T00:00:00"/>
    <x v="3"/>
    <x v="3"/>
    <x v="2"/>
    <x v="0"/>
    <n v="2"/>
    <n v="7109"/>
    <n v="14218"/>
    <x v="6"/>
    <n v="14218"/>
  </r>
  <r>
    <s v="ORD0290"/>
    <d v="2026-03-26T00:00:00"/>
    <x v="11"/>
    <x v="9"/>
    <x v="4"/>
    <x v="3"/>
    <n v="5"/>
    <n v="262"/>
    <n v="1310"/>
    <x v="6"/>
    <n v="1310"/>
  </r>
  <r>
    <s v="ORD0291"/>
    <d v="2026-05-02T00:00:00"/>
    <x v="11"/>
    <x v="2"/>
    <x v="1"/>
    <x v="1"/>
    <n v="3"/>
    <n v="15423"/>
    <n v="46269"/>
    <x v="0"/>
    <n v="46269"/>
  </r>
  <r>
    <s v="ORD0292"/>
    <d v="2026-04-30T00:00:00"/>
    <x v="2"/>
    <x v="10"/>
    <x v="3"/>
    <x v="0"/>
    <n v="6"/>
    <n v="1254"/>
    <n v="7524"/>
    <x v="2"/>
    <n v="7524"/>
  </r>
  <r>
    <s v="ORD0293"/>
    <d v="2026-04-10T00:00:00"/>
    <x v="7"/>
    <x v="10"/>
    <x v="3"/>
    <x v="1"/>
    <n v="4"/>
    <n v="1278"/>
    <n v="5112"/>
    <x v="2"/>
    <n v="5112"/>
  </r>
  <r>
    <s v="ORD0294"/>
    <d v="2026-07-15T00:00:00"/>
    <x v="14"/>
    <x v="11"/>
    <x v="1"/>
    <x v="1"/>
    <n v="4"/>
    <n v="12517"/>
    <n v="50068"/>
    <x v="8"/>
    <n v="50068"/>
  </r>
  <r>
    <s v="ORD0295"/>
    <d v="2026-11-06T00:00:00"/>
    <x v="15"/>
    <x v="2"/>
    <x v="1"/>
    <x v="4"/>
    <n v="2"/>
    <n v="15761"/>
    <n v="31522"/>
    <x v="3"/>
    <n v="31522"/>
  </r>
  <r>
    <s v="ORD0296"/>
    <d v="2026-07-10T00:00:00"/>
    <x v="2"/>
    <x v="6"/>
    <x v="1"/>
    <x v="3"/>
    <n v="6"/>
    <n v="44860"/>
    <n v="269160"/>
    <x v="8"/>
    <n v="269160"/>
  </r>
  <r>
    <s v="ORD0297"/>
    <d v="2026-05-26T00:00:00"/>
    <x v="1"/>
    <x v="9"/>
    <x v="4"/>
    <x v="0"/>
    <n v="5"/>
    <n v="264"/>
    <n v="1320"/>
    <x v="0"/>
    <n v="1320"/>
  </r>
  <r>
    <s v="ORD0298"/>
    <d v="2026-03-17T00:00:00"/>
    <x v="13"/>
    <x v="10"/>
    <x v="3"/>
    <x v="3"/>
    <n v="4"/>
    <n v="1278"/>
    <n v="5112"/>
    <x v="6"/>
    <n v="5112"/>
  </r>
  <r>
    <s v="ORD0299"/>
    <d v="2026-01-14T00:00:00"/>
    <x v="13"/>
    <x v="4"/>
    <x v="3"/>
    <x v="3"/>
    <n v="4"/>
    <n v="2654"/>
    <n v="10616"/>
    <x v="4"/>
    <n v="10616"/>
  </r>
  <r>
    <s v="ORD0300"/>
    <d v="2026-07-17T00:00:00"/>
    <x v="1"/>
    <x v="2"/>
    <x v="1"/>
    <x v="4"/>
    <n v="5"/>
    <n v="14698"/>
    <n v="73490"/>
    <x v="8"/>
    <n v="73490"/>
  </r>
  <r>
    <s v="ORD0301"/>
    <d v="2026-02-20T00:00:00"/>
    <x v="18"/>
    <x v="4"/>
    <x v="3"/>
    <x v="0"/>
    <n v="1"/>
    <n v="2427"/>
    <n v="2427"/>
    <x v="9"/>
    <n v="2427"/>
  </r>
  <r>
    <s v="ORD0302"/>
    <d v="2026-08-30T00:00:00"/>
    <x v="15"/>
    <x v="1"/>
    <x v="1"/>
    <x v="2"/>
    <n v="1"/>
    <n v="17386"/>
    <n v="17386"/>
    <x v="10"/>
    <n v="17386"/>
  </r>
  <r>
    <s v="ORD0303"/>
    <d v="2026-02-10T00:00:00"/>
    <x v="16"/>
    <x v="11"/>
    <x v="1"/>
    <x v="4"/>
    <n v="5"/>
    <n v="11050"/>
    <n v="55250"/>
    <x v="9"/>
    <n v="55250"/>
  </r>
  <r>
    <s v="ORD0304"/>
    <d v="2026-11-08T00:00:00"/>
    <x v="14"/>
    <x v="4"/>
    <x v="3"/>
    <x v="2"/>
    <n v="2"/>
    <n v="2520"/>
    <n v="5040"/>
    <x v="3"/>
    <n v="5040"/>
  </r>
  <r>
    <s v="ORD0305"/>
    <d v="2026-03-04T00:00:00"/>
    <x v="12"/>
    <x v="8"/>
    <x v="1"/>
    <x v="0"/>
    <n v="3"/>
    <n v="21076"/>
    <n v="63228"/>
    <x v="6"/>
    <n v="63228"/>
  </r>
  <r>
    <s v="ORD0306"/>
    <d v="2026-08-23T00:00:00"/>
    <x v="1"/>
    <x v="2"/>
    <x v="1"/>
    <x v="3"/>
    <n v="6"/>
    <n v="15705"/>
    <n v="94230"/>
    <x v="10"/>
    <n v="94230"/>
  </r>
  <r>
    <s v="ORD0307"/>
    <d v="2026-11-20T00:00:00"/>
    <x v="14"/>
    <x v="11"/>
    <x v="1"/>
    <x v="1"/>
    <n v="5"/>
    <n v="12069"/>
    <n v="60345"/>
    <x v="3"/>
    <n v="60345"/>
  </r>
  <r>
    <s v="ORD0308"/>
    <d v="2026-08-08T00:00:00"/>
    <x v="16"/>
    <x v="4"/>
    <x v="3"/>
    <x v="1"/>
    <n v="6"/>
    <n v="2357"/>
    <n v="14142"/>
    <x v="10"/>
    <n v="14142"/>
  </r>
  <r>
    <s v="ORD0309"/>
    <d v="2026-04-06T00:00:00"/>
    <x v="1"/>
    <x v="5"/>
    <x v="3"/>
    <x v="1"/>
    <n v="2"/>
    <n v="809"/>
    <n v="1618"/>
    <x v="2"/>
    <n v="1618"/>
  </r>
  <r>
    <s v="ORD0310"/>
    <d v="2026-10-06T00:00:00"/>
    <x v="14"/>
    <x v="5"/>
    <x v="3"/>
    <x v="1"/>
    <n v="1"/>
    <n v="858"/>
    <n v="858"/>
    <x v="1"/>
    <n v="858"/>
  </r>
  <r>
    <s v="ORD0311"/>
    <d v="2026-08-29T00:00:00"/>
    <x v="12"/>
    <x v="7"/>
    <x v="2"/>
    <x v="2"/>
    <n v="1"/>
    <n v="8351"/>
    <n v="8351"/>
    <x v="10"/>
    <n v="8351"/>
  </r>
  <r>
    <s v="ORD0312"/>
    <d v="2026-07-02T00:00:00"/>
    <x v="1"/>
    <x v="5"/>
    <x v="3"/>
    <x v="4"/>
    <n v="3"/>
    <n v="832"/>
    <n v="2496"/>
    <x v="8"/>
    <n v="2496"/>
  </r>
  <r>
    <s v="ORD0313"/>
    <d v="2026-02-23T00:00:00"/>
    <x v="10"/>
    <x v="4"/>
    <x v="3"/>
    <x v="4"/>
    <n v="6"/>
    <n v="2563"/>
    <n v="15378"/>
    <x v="9"/>
    <n v="15378"/>
  </r>
  <r>
    <s v="ORD0314"/>
    <d v="2026-06-23T00:00:00"/>
    <x v="3"/>
    <x v="1"/>
    <x v="1"/>
    <x v="2"/>
    <n v="1"/>
    <n v="17575"/>
    <n v="17575"/>
    <x v="5"/>
    <n v="17575"/>
  </r>
  <r>
    <s v="ORD0315"/>
    <d v="2026-03-11T00:00:00"/>
    <x v="1"/>
    <x v="9"/>
    <x v="4"/>
    <x v="2"/>
    <n v="4"/>
    <n v="255"/>
    <n v="1020"/>
    <x v="6"/>
    <n v="1020"/>
  </r>
  <r>
    <s v="ORD0316"/>
    <d v="2026-04-13T00:00:00"/>
    <x v="12"/>
    <x v="6"/>
    <x v="1"/>
    <x v="4"/>
    <n v="3"/>
    <n v="42851"/>
    <n v="128553"/>
    <x v="2"/>
    <n v="128553"/>
  </r>
  <r>
    <s v="ORD0317"/>
    <d v="2026-10-06T00:00:00"/>
    <x v="17"/>
    <x v="10"/>
    <x v="3"/>
    <x v="4"/>
    <n v="5"/>
    <n v="1180"/>
    <n v="5900"/>
    <x v="1"/>
    <n v="5900"/>
  </r>
  <r>
    <s v="ORD0318"/>
    <d v="2026-07-02T00:00:00"/>
    <x v="12"/>
    <x v="6"/>
    <x v="1"/>
    <x v="4"/>
    <n v="6"/>
    <n v="42776"/>
    <n v="256656"/>
    <x v="8"/>
    <n v="256656"/>
  </r>
  <r>
    <s v="ORD0319"/>
    <d v="2026-08-12T00:00:00"/>
    <x v="6"/>
    <x v="10"/>
    <x v="3"/>
    <x v="2"/>
    <n v="1"/>
    <n v="1257"/>
    <n v="1257"/>
    <x v="10"/>
    <n v="1257"/>
  </r>
  <r>
    <s v="ORD0320"/>
    <d v="2026-09-12T00:00:00"/>
    <x v="17"/>
    <x v="2"/>
    <x v="1"/>
    <x v="4"/>
    <n v="3"/>
    <n v="16137"/>
    <n v="48411"/>
    <x v="11"/>
    <n v="48411"/>
  </r>
  <r>
    <s v="ORD0321"/>
    <d v="2026-08-06T00:00:00"/>
    <x v="1"/>
    <x v="7"/>
    <x v="2"/>
    <x v="2"/>
    <n v="3"/>
    <n v="8910"/>
    <n v="26730"/>
    <x v="10"/>
    <n v="26730"/>
  </r>
  <r>
    <s v="ORD0322"/>
    <d v="2026-06-14T00:00:00"/>
    <x v="4"/>
    <x v="3"/>
    <x v="2"/>
    <x v="3"/>
    <n v="2"/>
    <n v="7051"/>
    <n v="14102"/>
    <x v="5"/>
    <n v="14102"/>
  </r>
  <r>
    <s v="ORD0323"/>
    <d v="2026-08-17T00:00:00"/>
    <x v="5"/>
    <x v="5"/>
    <x v="3"/>
    <x v="2"/>
    <n v="6"/>
    <n v="774"/>
    <n v="4644"/>
    <x v="10"/>
    <n v="4644"/>
  </r>
  <r>
    <s v="ORD0324"/>
    <d v="2026-08-17T00:00:00"/>
    <x v="12"/>
    <x v="1"/>
    <x v="1"/>
    <x v="4"/>
    <n v="6"/>
    <n v="17838"/>
    <n v="107028"/>
    <x v="10"/>
    <n v="107028"/>
  </r>
  <r>
    <s v="ORD0325"/>
    <d v="2026-01-30T00:00:00"/>
    <x v="1"/>
    <x v="3"/>
    <x v="2"/>
    <x v="2"/>
    <n v="4"/>
    <n v="6748"/>
    <n v="26992"/>
    <x v="4"/>
    <n v="26992"/>
  </r>
  <r>
    <s v="ORD0326"/>
    <d v="2026-12-14T00:00:00"/>
    <x v="3"/>
    <x v="5"/>
    <x v="3"/>
    <x v="3"/>
    <n v="5"/>
    <n v="839"/>
    <n v="4195"/>
    <x v="7"/>
    <n v="4195"/>
  </r>
  <r>
    <s v="ORD0327"/>
    <d v="2026-08-13T00:00:00"/>
    <x v="12"/>
    <x v="1"/>
    <x v="1"/>
    <x v="0"/>
    <n v="5"/>
    <n v="18513"/>
    <n v="92565"/>
    <x v="10"/>
    <n v="92565"/>
  </r>
  <r>
    <s v="ORD0328"/>
    <d v="2026-07-07T00:00:00"/>
    <x v="7"/>
    <x v="8"/>
    <x v="1"/>
    <x v="2"/>
    <n v="2"/>
    <n v="22980"/>
    <n v="45960"/>
    <x v="8"/>
    <n v="45960"/>
  </r>
  <r>
    <s v="ORD0329"/>
    <d v="2026-12-14T00:00:00"/>
    <x v="11"/>
    <x v="3"/>
    <x v="2"/>
    <x v="4"/>
    <n v="1"/>
    <n v="7118"/>
    <n v="7118"/>
    <x v="7"/>
    <n v="7118"/>
  </r>
  <r>
    <s v="ORD0330"/>
    <d v="2026-10-21T00:00:00"/>
    <x v="15"/>
    <x v="5"/>
    <x v="3"/>
    <x v="1"/>
    <n v="4"/>
    <n v="834"/>
    <n v="3336"/>
    <x v="1"/>
    <n v="3336"/>
  </r>
  <r>
    <s v="ORD0331"/>
    <d v="2026-05-23T00:00:00"/>
    <x v="0"/>
    <x v="5"/>
    <x v="3"/>
    <x v="3"/>
    <n v="4"/>
    <n v="776"/>
    <n v="3104"/>
    <x v="0"/>
    <n v="3104"/>
  </r>
  <r>
    <s v="ORD0332"/>
    <d v="2026-09-23T00:00:00"/>
    <x v="6"/>
    <x v="6"/>
    <x v="1"/>
    <x v="1"/>
    <n v="6"/>
    <n v="42740"/>
    <n v="256440"/>
    <x v="11"/>
    <n v="256440"/>
  </r>
  <r>
    <s v="ORD0333"/>
    <d v="2026-12-27T00:00:00"/>
    <x v="11"/>
    <x v="8"/>
    <x v="1"/>
    <x v="0"/>
    <n v="3"/>
    <n v="22968"/>
    <n v="68904"/>
    <x v="7"/>
    <n v="68904"/>
  </r>
  <r>
    <s v="ORD0334"/>
    <d v="2026-09-09T00:00:00"/>
    <x v="9"/>
    <x v="3"/>
    <x v="2"/>
    <x v="3"/>
    <n v="3"/>
    <n v="7217"/>
    <n v="21651"/>
    <x v="11"/>
    <n v="21651"/>
  </r>
  <r>
    <s v="ORD0335"/>
    <d v="2026-08-16T00:00:00"/>
    <x v="1"/>
    <x v="1"/>
    <x v="1"/>
    <x v="4"/>
    <n v="1"/>
    <n v="17862"/>
    <n v="17862"/>
    <x v="10"/>
    <n v="17862"/>
  </r>
  <r>
    <s v="ORD0336"/>
    <d v="2026-10-09T00:00:00"/>
    <x v="2"/>
    <x v="0"/>
    <x v="0"/>
    <x v="4"/>
    <n v="3"/>
    <n v="1860"/>
    <n v="5580"/>
    <x v="1"/>
    <n v="5580"/>
  </r>
  <r>
    <s v="ORD0337"/>
    <d v="2026-12-25T00:00:00"/>
    <x v="3"/>
    <x v="10"/>
    <x v="3"/>
    <x v="4"/>
    <n v="2"/>
    <n v="1241"/>
    <n v="2482"/>
    <x v="7"/>
    <n v="2482"/>
  </r>
  <r>
    <s v="ORD0338"/>
    <d v="2026-04-13T00:00:00"/>
    <x v="15"/>
    <x v="7"/>
    <x v="2"/>
    <x v="0"/>
    <n v="2"/>
    <n v="7985"/>
    <n v="15970"/>
    <x v="2"/>
    <n v="15970"/>
  </r>
  <r>
    <s v="ORD0339"/>
    <d v="2026-10-21T00:00:00"/>
    <x v="7"/>
    <x v="11"/>
    <x v="1"/>
    <x v="2"/>
    <n v="1"/>
    <n v="11733"/>
    <n v="11733"/>
    <x v="1"/>
    <n v="11733"/>
  </r>
  <r>
    <s v="ORD0340"/>
    <d v="2026-02-14T00:00:00"/>
    <x v="1"/>
    <x v="7"/>
    <x v="2"/>
    <x v="4"/>
    <n v="2"/>
    <n v="8652"/>
    <n v="17304"/>
    <x v="9"/>
    <n v="17304"/>
  </r>
  <r>
    <s v="ORD0341"/>
    <d v="2026-09-27T00:00:00"/>
    <x v="13"/>
    <x v="2"/>
    <x v="1"/>
    <x v="2"/>
    <n v="6"/>
    <n v="15525"/>
    <n v="93150"/>
    <x v="11"/>
    <n v="93150"/>
  </r>
  <r>
    <s v="ORD0342"/>
    <d v="2026-06-12T00:00:00"/>
    <x v="1"/>
    <x v="3"/>
    <x v="2"/>
    <x v="2"/>
    <n v="1"/>
    <n v="6580"/>
    <n v="6580"/>
    <x v="5"/>
    <n v="6580"/>
  </r>
  <r>
    <s v="ORD0343"/>
    <d v="2026-03-07T00:00:00"/>
    <x v="2"/>
    <x v="11"/>
    <x v="1"/>
    <x v="1"/>
    <n v="6"/>
    <n v="12033"/>
    <n v="72198"/>
    <x v="6"/>
    <n v="72198"/>
  </r>
  <r>
    <s v="ORD0344"/>
    <d v="2026-01-29T00:00:00"/>
    <x v="4"/>
    <x v="1"/>
    <x v="1"/>
    <x v="1"/>
    <n v="2"/>
    <n v="17806"/>
    <n v="35612"/>
    <x v="4"/>
    <n v="35612"/>
  </r>
  <r>
    <s v="ORD0345"/>
    <d v="2026-06-15T00:00:00"/>
    <x v="0"/>
    <x v="1"/>
    <x v="1"/>
    <x v="4"/>
    <n v="3"/>
    <n v="17034"/>
    <n v="51102"/>
    <x v="5"/>
    <n v="51102"/>
  </r>
  <r>
    <s v="ORD0346"/>
    <d v="2026-05-09T00:00:00"/>
    <x v="9"/>
    <x v="7"/>
    <x v="2"/>
    <x v="1"/>
    <n v="3"/>
    <n v="8970"/>
    <n v="26910"/>
    <x v="0"/>
    <n v="26910"/>
  </r>
  <r>
    <s v="ORD0347"/>
    <d v="2026-11-11T00:00:00"/>
    <x v="2"/>
    <x v="10"/>
    <x v="3"/>
    <x v="3"/>
    <n v="2"/>
    <n v="1224"/>
    <n v="2448"/>
    <x v="3"/>
    <n v="2448"/>
  </r>
  <r>
    <s v="ORD0348"/>
    <d v="2026-10-25T00:00:00"/>
    <x v="15"/>
    <x v="7"/>
    <x v="2"/>
    <x v="0"/>
    <n v="6"/>
    <n v="8049"/>
    <n v="48294"/>
    <x v="1"/>
    <n v="48294"/>
  </r>
  <r>
    <s v="ORD0349"/>
    <d v="2026-11-06T00:00:00"/>
    <x v="18"/>
    <x v="0"/>
    <x v="0"/>
    <x v="1"/>
    <n v="5"/>
    <n v="1864"/>
    <n v="9320"/>
    <x v="3"/>
    <n v="9320"/>
  </r>
  <r>
    <s v="ORD0350"/>
    <d v="2026-11-25T00:00:00"/>
    <x v="10"/>
    <x v="6"/>
    <x v="1"/>
    <x v="4"/>
    <n v="1"/>
    <n v="41985"/>
    <n v="41985"/>
    <x v="3"/>
    <n v="41985"/>
  </r>
  <r>
    <s v="ORD0351"/>
    <d v="2026-08-02T00:00:00"/>
    <x v="5"/>
    <x v="0"/>
    <x v="0"/>
    <x v="3"/>
    <n v="2"/>
    <n v="1877"/>
    <n v="3754"/>
    <x v="10"/>
    <n v="3754"/>
  </r>
  <r>
    <s v="ORD0352"/>
    <d v="2026-11-25T00:00:00"/>
    <x v="19"/>
    <x v="11"/>
    <x v="1"/>
    <x v="2"/>
    <n v="6"/>
    <n v="12088"/>
    <n v="72528"/>
    <x v="3"/>
    <n v="72528"/>
  </r>
  <r>
    <s v="ORD0353"/>
    <d v="2026-08-21T00:00:00"/>
    <x v="1"/>
    <x v="4"/>
    <x v="3"/>
    <x v="3"/>
    <n v="6"/>
    <n v="2462"/>
    <n v="14772"/>
    <x v="10"/>
    <n v="14772"/>
  </r>
  <r>
    <s v="ORD0354"/>
    <d v="2026-08-26T00:00:00"/>
    <x v="9"/>
    <x v="1"/>
    <x v="1"/>
    <x v="4"/>
    <n v="4"/>
    <n v="17757"/>
    <n v="71028"/>
    <x v="10"/>
    <n v="71028"/>
  </r>
  <r>
    <s v="ORD0355"/>
    <d v="2026-06-13T00:00:00"/>
    <x v="7"/>
    <x v="3"/>
    <x v="2"/>
    <x v="2"/>
    <n v="2"/>
    <n v="6790"/>
    <n v="13580"/>
    <x v="5"/>
    <n v="13580"/>
  </r>
  <r>
    <s v="ORD0356"/>
    <d v="2026-02-24T00:00:00"/>
    <x v="18"/>
    <x v="1"/>
    <x v="1"/>
    <x v="0"/>
    <n v="3"/>
    <n v="18043"/>
    <n v="54129"/>
    <x v="9"/>
    <n v="54129"/>
  </r>
  <r>
    <s v="ORD0357"/>
    <d v="2026-05-07T00:00:00"/>
    <x v="15"/>
    <x v="11"/>
    <x v="1"/>
    <x v="3"/>
    <n v="1"/>
    <n v="11554"/>
    <n v="11554"/>
    <x v="0"/>
    <n v="11554"/>
  </r>
  <r>
    <s v="ORD0358"/>
    <d v="2026-11-12T00:00:00"/>
    <x v="13"/>
    <x v="6"/>
    <x v="1"/>
    <x v="0"/>
    <n v="3"/>
    <n v="48207"/>
    <n v="144621"/>
    <x v="3"/>
    <n v="144621"/>
  </r>
  <r>
    <s v="ORD0359"/>
    <d v="2026-06-10T00:00:00"/>
    <x v="9"/>
    <x v="1"/>
    <x v="1"/>
    <x v="0"/>
    <n v="3"/>
    <n v="19249"/>
    <n v="57747"/>
    <x v="5"/>
    <n v="57747"/>
  </r>
  <r>
    <s v="ORD0360"/>
    <d v="2026-06-07T00:00:00"/>
    <x v="17"/>
    <x v="11"/>
    <x v="1"/>
    <x v="3"/>
    <n v="5"/>
    <n v="11936"/>
    <n v="59680"/>
    <x v="5"/>
    <n v="59680"/>
  </r>
  <r>
    <s v="ORD0361"/>
    <d v="2026-05-04T00:00:00"/>
    <x v="9"/>
    <x v="8"/>
    <x v="1"/>
    <x v="1"/>
    <n v="4"/>
    <n v="22019"/>
    <n v="88076"/>
    <x v="0"/>
    <n v="88076"/>
  </r>
  <r>
    <s v="ORD0362"/>
    <d v="2026-09-11T00:00:00"/>
    <x v="5"/>
    <x v="5"/>
    <x v="3"/>
    <x v="2"/>
    <n v="1"/>
    <n v="742"/>
    <n v="742"/>
    <x v="11"/>
    <n v="742"/>
  </r>
  <r>
    <s v="ORD0363"/>
    <d v="2026-02-25T00:00:00"/>
    <x v="13"/>
    <x v="10"/>
    <x v="3"/>
    <x v="0"/>
    <n v="5"/>
    <n v="1106"/>
    <n v="5530"/>
    <x v="9"/>
    <n v="5530"/>
  </r>
  <r>
    <s v="ORD0364"/>
    <d v="2026-07-26T00:00:00"/>
    <x v="7"/>
    <x v="10"/>
    <x v="3"/>
    <x v="3"/>
    <n v="6"/>
    <n v="1174"/>
    <n v="7044"/>
    <x v="8"/>
    <n v="7044"/>
  </r>
  <r>
    <s v="ORD0365"/>
    <d v="2026-04-10T00:00:00"/>
    <x v="7"/>
    <x v="2"/>
    <x v="1"/>
    <x v="1"/>
    <n v="1"/>
    <n v="15169"/>
    <n v="15169"/>
    <x v="2"/>
    <n v="15169"/>
  </r>
  <r>
    <s v="ORD0366"/>
    <d v="2026-08-19T00:00:00"/>
    <x v="2"/>
    <x v="10"/>
    <x v="3"/>
    <x v="4"/>
    <n v="1"/>
    <n v="1178"/>
    <n v="1178"/>
    <x v="10"/>
    <n v="1178"/>
  </r>
  <r>
    <s v="ORD0367"/>
    <d v="2026-03-07T00:00:00"/>
    <x v="4"/>
    <x v="3"/>
    <x v="2"/>
    <x v="2"/>
    <n v="6"/>
    <n v="7124"/>
    <n v="42744"/>
    <x v="6"/>
    <n v="42744"/>
  </r>
  <r>
    <s v="ORD0368"/>
    <d v="2026-07-07T00:00:00"/>
    <x v="15"/>
    <x v="5"/>
    <x v="3"/>
    <x v="0"/>
    <n v="3"/>
    <n v="807"/>
    <n v="2421"/>
    <x v="8"/>
    <n v="2421"/>
  </r>
  <r>
    <s v="ORD0369"/>
    <d v="2026-01-21T00:00:00"/>
    <x v="12"/>
    <x v="3"/>
    <x v="2"/>
    <x v="3"/>
    <n v="5"/>
    <n v="6890"/>
    <n v="34450"/>
    <x v="4"/>
    <n v="34450"/>
  </r>
  <r>
    <s v="ORD0370"/>
    <d v="2026-08-31T00:00:00"/>
    <x v="14"/>
    <x v="1"/>
    <x v="1"/>
    <x v="2"/>
    <n v="6"/>
    <n v="17519"/>
    <n v="105114"/>
    <x v="10"/>
    <n v="105114"/>
  </r>
  <r>
    <s v="ORD0371"/>
    <d v="2026-03-13T00:00:00"/>
    <x v="18"/>
    <x v="1"/>
    <x v="1"/>
    <x v="1"/>
    <n v="5"/>
    <n v="19132"/>
    <n v="95660"/>
    <x v="6"/>
    <n v="95660"/>
  </r>
  <r>
    <s v="ORD0372"/>
    <d v="2026-11-12T00:00:00"/>
    <x v="19"/>
    <x v="5"/>
    <x v="3"/>
    <x v="1"/>
    <n v="2"/>
    <n v="786"/>
    <n v="1572"/>
    <x v="3"/>
    <n v="1572"/>
  </r>
  <r>
    <s v="ORD0373"/>
    <d v="2026-09-30T00:00:00"/>
    <x v="17"/>
    <x v="5"/>
    <x v="3"/>
    <x v="1"/>
    <n v="5"/>
    <n v="842"/>
    <n v="4210"/>
    <x v="11"/>
    <n v="4210"/>
  </r>
  <r>
    <s v="ORD0374"/>
    <d v="2026-07-08T00:00:00"/>
    <x v="18"/>
    <x v="10"/>
    <x v="3"/>
    <x v="3"/>
    <n v="4"/>
    <n v="1261"/>
    <n v="5044"/>
    <x v="8"/>
    <n v="5044"/>
  </r>
  <r>
    <s v="ORD0375"/>
    <d v="2026-12-19T00:00:00"/>
    <x v="16"/>
    <x v="2"/>
    <x v="1"/>
    <x v="1"/>
    <n v="5"/>
    <n v="14538"/>
    <n v="72690"/>
    <x v="7"/>
    <n v="72690"/>
  </r>
  <r>
    <s v="ORD0376"/>
    <d v="2026-10-24T00:00:00"/>
    <x v="10"/>
    <x v="11"/>
    <x v="1"/>
    <x v="0"/>
    <n v="3"/>
    <n v="12897"/>
    <n v="38691"/>
    <x v="1"/>
    <n v="38691"/>
  </r>
  <r>
    <s v="ORD0377"/>
    <d v="2026-03-29T00:00:00"/>
    <x v="14"/>
    <x v="9"/>
    <x v="4"/>
    <x v="1"/>
    <n v="1"/>
    <n v="253"/>
    <n v="253"/>
    <x v="6"/>
    <n v="253"/>
  </r>
  <r>
    <s v="ORD0378"/>
    <d v="2026-05-05T00:00:00"/>
    <x v="12"/>
    <x v="2"/>
    <x v="1"/>
    <x v="1"/>
    <n v="2"/>
    <n v="15772"/>
    <n v="31544"/>
    <x v="0"/>
    <n v="31544"/>
  </r>
  <r>
    <s v="ORD0379"/>
    <d v="2026-08-14T00:00:00"/>
    <x v="18"/>
    <x v="9"/>
    <x v="4"/>
    <x v="2"/>
    <n v="1"/>
    <n v="238"/>
    <n v="238"/>
    <x v="10"/>
    <n v="238"/>
  </r>
  <r>
    <s v="ORD0380"/>
    <d v="2026-07-30T00:00:00"/>
    <x v="14"/>
    <x v="1"/>
    <x v="1"/>
    <x v="1"/>
    <n v="4"/>
    <n v="18549"/>
    <n v="74196"/>
    <x v="8"/>
    <n v="74196"/>
  </r>
  <r>
    <s v="ORD0381"/>
    <d v="2026-12-28T00:00:00"/>
    <x v="15"/>
    <x v="11"/>
    <x v="1"/>
    <x v="1"/>
    <n v="6"/>
    <n v="12437"/>
    <n v="74622"/>
    <x v="7"/>
    <n v="74622"/>
  </r>
  <r>
    <s v="ORD0382"/>
    <d v="2026-12-06T00:00:00"/>
    <x v="17"/>
    <x v="4"/>
    <x v="3"/>
    <x v="1"/>
    <n v="5"/>
    <n v="2430"/>
    <n v="12150"/>
    <x v="7"/>
    <n v="12150"/>
  </r>
  <r>
    <s v="ORD0383"/>
    <d v="2026-08-24T00:00:00"/>
    <x v="2"/>
    <x v="2"/>
    <x v="1"/>
    <x v="4"/>
    <n v="3"/>
    <n v="16096"/>
    <n v="48288"/>
    <x v="10"/>
    <n v="48288"/>
  </r>
  <r>
    <s v="ORD0384"/>
    <d v="2026-12-15T00:00:00"/>
    <x v="8"/>
    <x v="7"/>
    <x v="2"/>
    <x v="1"/>
    <n v="3"/>
    <n v="8739"/>
    <n v="26217"/>
    <x v="7"/>
    <n v="26217"/>
  </r>
  <r>
    <s v="ORD0385"/>
    <d v="2026-05-23T00:00:00"/>
    <x v="2"/>
    <x v="11"/>
    <x v="1"/>
    <x v="4"/>
    <n v="2"/>
    <n v="12878"/>
    <n v="25756"/>
    <x v="0"/>
    <n v="25756"/>
  </r>
  <r>
    <s v="ORD0386"/>
    <d v="2026-12-27T00:00:00"/>
    <x v="9"/>
    <x v="4"/>
    <x v="3"/>
    <x v="2"/>
    <n v="3"/>
    <n v="2608"/>
    <n v="7824"/>
    <x v="7"/>
    <n v="7824"/>
  </r>
  <r>
    <s v="ORD0387"/>
    <d v="2026-05-21T00:00:00"/>
    <x v="19"/>
    <x v="5"/>
    <x v="3"/>
    <x v="3"/>
    <n v="4"/>
    <n v="781"/>
    <n v="3124"/>
    <x v="0"/>
    <n v="3124"/>
  </r>
  <r>
    <s v="ORD0388"/>
    <d v="2026-07-22T00:00:00"/>
    <x v="7"/>
    <x v="3"/>
    <x v="2"/>
    <x v="0"/>
    <n v="6"/>
    <n v="7048"/>
    <n v="42288"/>
    <x v="8"/>
    <n v="42288"/>
  </r>
  <r>
    <s v="ORD0389"/>
    <d v="2026-02-10T00:00:00"/>
    <x v="7"/>
    <x v="10"/>
    <x v="3"/>
    <x v="2"/>
    <n v="1"/>
    <n v="1159"/>
    <n v="1159"/>
    <x v="9"/>
    <n v="1159"/>
  </r>
  <r>
    <s v="ORD0390"/>
    <d v="2026-04-20T00:00:00"/>
    <x v="9"/>
    <x v="0"/>
    <x v="0"/>
    <x v="1"/>
    <n v="3"/>
    <n v="1871"/>
    <n v="5613"/>
    <x v="2"/>
    <n v="5613"/>
  </r>
  <r>
    <s v="ORD0391"/>
    <d v="2026-03-12T00:00:00"/>
    <x v="4"/>
    <x v="10"/>
    <x v="3"/>
    <x v="1"/>
    <n v="5"/>
    <n v="1238"/>
    <n v="6190"/>
    <x v="6"/>
    <n v="6190"/>
  </r>
  <r>
    <s v="ORD0392"/>
    <d v="2026-01-26T00:00:00"/>
    <x v="14"/>
    <x v="9"/>
    <x v="4"/>
    <x v="0"/>
    <n v="5"/>
    <n v="240"/>
    <n v="1200"/>
    <x v="4"/>
    <n v="1200"/>
  </r>
  <r>
    <s v="ORD0393"/>
    <d v="2026-07-31T00:00:00"/>
    <x v="18"/>
    <x v="0"/>
    <x v="0"/>
    <x v="2"/>
    <n v="2"/>
    <n v="1671"/>
    <n v="3342"/>
    <x v="8"/>
    <n v="3342"/>
  </r>
  <r>
    <s v="ORD0394"/>
    <d v="2026-01-03T00:00:00"/>
    <x v="2"/>
    <x v="8"/>
    <x v="1"/>
    <x v="0"/>
    <n v="6"/>
    <n v="22953"/>
    <n v="137718"/>
    <x v="4"/>
    <n v="137718"/>
  </r>
  <r>
    <s v="ORD0395"/>
    <d v="2026-09-01T00:00:00"/>
    <x v="17"/>
    <x v="2"/>
    <x v="1"/>
    <x v="0"/>
    <n v="6"/>
    <n v="16044"/>
    <n v="96264"/>
    <x v="11"/>
    <n v="96264"/>
  </r>
  <r>
    <s v="ORD0396"/>
    <d v="2026-01-31T00:00:00"/>
    <x v="1"/>
    <x v="10"/>
    <x v="3"/>
    <x v="1"/>
    <n v="3"/>
    <n v="1159"/>
    <n v="3477"/>
    <x v="4"/>
    <n v="3477"/>
  </r>
  <r>
    <s v="ORD0397"/>
    <d v="2026-01-20T00:00:00"/>
    <x v="3"/>
    <x v="4"/>
    <x v="3"/>
    <x v="2"/>
    <n v="5"/>
    <n v="2595"/>
    <n v="12975"/>
    <x v="4"/>
    <n v="12975"/>
  </r>
  <r>
    <s v="ORD0398"/>
    <d v="2026-07-23T00:00:00"/>
    <x v="17"/>
    <x v="1"/>
    <x v="1"/>
    <x v="0"/>
    <n v="1"/>
    <n v="19432"/>
    <n v="19432"/>
    <x v="8"/>
    <n v="19432"/>
  </r>
  <r>
    <s v="ORD0399"/>
    <d v="2026-01-05T00:00:00"/>
    <x v="19"/>
    <x v="9"/>
    <x v="4"/>
    <x v="1"/>
    <n v="3"/>
    <n v="265"/>
    <n v="795"/>
    <x v="4"/>
    <n v="795"/>
  </r>
  <r>
    <s v="ORD0400"/>
    <d v="2026-06-21T00:00:00"/>
    <x v="19"/>
    <x v="3"/>
    <x v="2"/>
    <x v="2"/>
    <n v="1"/>
    <n v="7480"/>
    <n v="7480"/>
    <x v="5"/>
    <n v="7480"/>
  </r>
  <r>
    <s v="ORD0401"/>
    <d v="2026-03-10T00:00:00"/>
    <x v="14"/>
    <x v="0"/>
    <x v="0"/>
    <x v="2"/>
    <n v="5"/>
    <n v="1807"/>
    <n v="9035"/>
    <x v="6"/>
    <n v="9035"/>
  </r>
  <r>
    <s v="ORD0402"/>
    <d v="2026-06-19T00:00:00"/>
    <x v="3"/>
    <x v="10"/>
    <x v="3"/>
    <x v="2"/>
    <n v="2"/>
    <n v="1259"/>
    <n v="2518"/>
    <x v="5"/>
    <n v="2518"/>
  </r>
  <r>
    <s v="ORD0403"/>
    <d v="2026-01-08T00:00:00"/>
    <x v="18"/>
    <x v="0"/>
    <x v="0"/>
    <x v="4"/>
    <n v="3"/>
    <n v="1863"/>
    <n v="5589"/>
    <x v="4"/>
    <n v="5589"/>
  </r>
  <r>
    <s v="ORD0404"/>
    <d v="2026-03-31T00:00:00"/>
    <x v="5"/>
    <x v="3"/>
    <x v="2"/>
    <x v="2"/>
    <n v="6"/>
    <n v="7288"/>
    <n v="43728"/>
    <x v="6"/>
    <n v="43728"/>
  </r>
  <r>
    <s v="ORD0405"/>
    <d v="2026-07-25T00:00:00"/>
    <x v="4"/>
    <x v="2"/>
    <x v="1"/>
    <x v="0"/>
    <n v="5"/>
    <n v="14587"/>
    <n v="72935"/>
    <x v="8"/>
    <n v="72935"/>
  </r>
  <r>
    <s v="ORD0406"/>
    <d v="2026-05-08T00:00:00"/>
    <x v="16"/>
    <x v="1"/>
    <x v="1"/>
    <x v="4"/>
    <n v="4"/>
    <n v="17492"/>
    <n v="69968"/>
    <x v="0"/>
    <n v="69968"/>
  </r>
  <r>
    <s v="ORD0407"/>
    <d v="2026-05-17T00:00:00"/>
    <x v="18"/>
    <x v="2"/>
    <x v="1"/>
    <x v="4"/>
    <n v="2"/>
    <n v="14872"/>
    <n v="29744"/>
    <x v="0"/>
    <n v="29744"/>
  </r>
  <r>
    <s v="ORD0408"/>
    <d v="2026-05-14T00:00:00"/>
    <x v="7"/>
    <x v="3"/>
    <x v="2"/>
    <x v="0"/>
    <n v="6"/>
    <n v="7082"/>
    <n v="42492"/>
    <x v="0"/>
    <n v="42492"/>
  </r>
  <r>
    <s v="ORD0409"/>
    <d v="2026-06-07T00:00:00"/>
    <x v="3"/>
    <x v="6"/>
    <x v="1"/>
    <x v="2"/>
    <n v="6"/>
    <n v="42251"/>
    <n v="253506"/>
    <x v="5"/>
    <n v="253506"/>
  </r>
  <r>
    <s v="ORD0410"/>
    <d v="2026-12-27T00:00:00"/>
    <x v="19"/>
    <x v="0"/>
    <x v="0"/>
    <x v="3"/>
    <n v="5"/>
    <n v="1922"/>
    <n v="9610"/>
    <x v="7"/>
    <n v="9610"/>
  </r>
  <r>
    <s v="ORD0411"/>
    <d v="2026-04-24T00:00:00"/>
    <x v="0"/>
    <x v="0"/>
    <x v="0"/>
    <x v="0"/>
    <n v="3"/>
    <n v="1762"/>
    <n v="5286"/>
    <x v="2"/>
    <n v="5286"/>
  </r>
  <r>
    <s v="ORD0412"/>
    <d v="2026-11-07T00:00:00"/>
    <x v="7"/>
    <x v="11"/>
    <x v="1"/>
    <x v="2"/>
    <n v="2"/>
    <n v="11914"/>
    <n v="23828"/>
    <x v="3"/>
    <n v="23828"/>
  </r>
  <r>
    <s v="ORD0413"/>
    <d v="2026-10-03T00:00:00"/>
    <x v="9"/>
    <x v="9"/>
    <x v="4"/>
    <x v="0"/>
    <n v="5"/>
    <n v="267"/>
    <n v="1335"/>
    <x v="1"/>
    <n v="1335"/>
  </r>
  <r>
    <s v="ORD0414"/>
    <d v="2026-02-11T00:00:00"/>
    <x v="14"/>
    <x v="0"/>
    <x v="0"/>
    <x v="2"/>
    <n v="5"/>
    <n v="1907"/>
    <n v="9535"/>
    <x v="9"/>
    <n v="9535"/>
  </r>
  <r>
    <s v="ORD0415"/>
    <d v="2026-10-16T00:00:00"/>
    <x v="4"/>
    <x v="7"/>
    <x v="2"/>
    <x v="3"/>
    <n v="6"/>
    <n v="8312"/>
    <n v="49872"/>
    <x v="1"/>
    <n v="49872"/>
  </r>
  <r>
    <s v="ORD0416"/>
    <d v="2026-10-02T00:00:00"/>
    <x v="15"/>
    <x v="7"/>
    <x v="2"/>
    <x v="0"/>
    <n v="5"/>
    <n v="8095"/>
    <n v="40475"/>
    <x v="1"/>
    <n v="40475"/>
  </r>
  <r>
    <s v="ORD0417"/>
    <d v="2026-12-15T00:00:00"/>
    <x v="9"/>
    <x v="5"/>
    <x v="3"/>
    <x v="1"/>
    <n v="5"/>
    <n v="793"/>
    <n v="3965"/>
    <x v="7"/>
    <n v="3965"/>
  </r>
  <r>
    <s v="ORD0418"/>
    <d v="2026-08-17T00:00:00"/>
    <x v="12"/>
    <x v="11"/>
    <x v="1"/>
    <x v="2"/>
    <n v="1"/>
    <n v="12766"/>
    <n v="12766"/>
    <x v="10"/>
    <n v="12766"/>
  </r>
  <r>
    <s v="ORD0419"/>
    <d v="2026-10-16T00:00:00"/>
    <x v="12"/>
    <x v="1"/>
    <x v="1"/>
    <x v="1"/>
    <n v="5"/>
    <n v="17756"/>
    <n v="88780"/>
    <x v="1"/>
    <n v="88780"/>
  </r>
  <r>
    <s v="ORD0420"/>
    <d v="2026-01-12T00:00:00"/>
    <x v="6"/>
    <x v="11"/>
    <x v="1"/>
    <x v="4"/>
    <n v="6"/>
    <n v="12589"/>
    <n v="75534"/>
    <x v="4"/>
    <n v="75534"/>
  </r>
  <r>
    <s v="ORD0421"/>
    <d v="2026-02-07T00:00:00"/>
    <x v="12"/>
    <x v="6"/>
    <x v="1"/>
    <x v="2"/>
    <n v="6"/>
    <n v="42969"/>
    <n v="257814"/>
    <x v="9"/>
    <n v="257814"/>
  </r>
  <r>
    <s v="ORD0422"/>
    <d v="2026-01-31T00:00:00"/>
    <x v="1"/>
    <x v="5"/>
    <x v="3"/>
    <x v="2"/>
    <n v="6"/>
    <n v="744"/>
    <n v="4464"/>
    <x v="4"/>
    <n v="4464"/>
  </r>
  <r>
    <s v="ORD0423"/>
    <d v="2026-03-11T00:00:00"/>
    <x v="13"/>
    <x v="6"/>
    <x v="1"/>
    <x v="4"/>
    <n v="3"/>
    <n v="44344"/>
    <n v="133032"/>
    <x v="6"/>
    <n v="133032"/>
  </r>
  <r>
    <s v="ORD0424"/>
    <d v="2026-07-13T00:00:00"/>
    <x v="6"/>
    <x v="2"/>
    <x v="1"/>
    <x v="3"/>
    <n v="4"/>
    <n v="15887"/>
    <n v="63548"/>
    <x v="8"/>
    <n v="63548"/>
  </r>
  <r>
    <s v="ORD0425"/>
    <d v="2026-03-10T00:00:00"/>
    <x v="7"/>
    <x v="0"/>
    <x v="0"/>
    <x v="3"/>
    <n v="6"/>
    <n v="1908"/>
    <n v="11448"/>
    <x v="6"/>
    <n v="11448"/>
  </r>
  <r>
    <s v="ORD0426"/>
    <d v="2026-03-07T00:00:00"/>
    <x v="0"/>
    <x v="1"/>
    <x v="1"/>
    <x v="3"/>
    <n v="5"/>
    <n v="17692"/>
    <n v="88460"/>
    <x v="6"/>
    <n v="88460"/>
  </r>
  <r>
    <s v="ORD0427"/>
    <d v="2026-10-06T00:00:00"/>
    <x v="13"/>
    <x v="6"/>
    <x v="1"/>
    <x v="1"/>
    <n v="3"/>
    <n v="44734"/>
    <n v="134202"/>
    <x v="1"/>
    <n v="134202"/>
  </r>
  <r>
    <s v="ORD0428"/>
    <d v="2026-06-27T00:00:00"/>
    <x v="15"/>
    <x v="2"/>
    <x v="1"/>
    <x v="4"/>
    <n v="2"/>
    <n v="14394"/>
    <n v="28788"/>
    <x v="5"/>
    <n v="28788"/>
  </r>
  <r>
    <s v="ORD0429"/>
    <d v="2026-01-17T00:00:00"/>
    <x v="13"/>
    <x v="4"/>
    <x v="3"/>
    <x v="1"/>
    <n v="6"/>
    <n v="2606"/>
    <n v="15636"/>
    <x v="4"/>
    <n v="15636"/>
  </r>
  <r>
    <s v="ORD0430"/>
    <d v="2026-02-21T00:00:00"/>
    <x v="5"/>
    <x v="6"/>
    <x v="1"/>
    <x v="3"/>
    <n v="2"/>
    <n v="42884"/>
    <n v="85768"/>
    <x v="9"/>
    <n v="85768"/>
  </r>
  <r>
    <s v="ORD0431"/>
    <d v="2026-01-25T00:00:00"/>
    <x v="0"/>
    <x v="11"/>
    <x v="1"/>
    <x v="3"/>
    <n v="5"/>
    <n v="12330"/>
    <n v="61650"/>
    <x v="4"/>
    <n v="61650"/>
  </r>
  <r>
    <s v="ORD0432"/>
    <d v="2026-04-22T00:00:00"/>
    <x v="12"/>
    <x v="2"/>
    <x v="1"/>
    <x v="0"/>
    <n v="4"/>
    <n v="14362"/>
    <n v="57448"/>
    <x v="2"/>
    <n v="57448"/>
  </r>
  <r>
    <s v="ORD0433"/>
    <d v="2026-10-22T00:00:00"/>
    <x v="18"/>
    <x v="7"/>
    <x v="2"/>
    <x v="1"/>
    <n v="3"/>
    <n v="8138"/>
    <n v="24414"/>
    <x v="1"/>
    <n v="24414"/>
  </r>
  <r>
    <s v="ORD0434"/>
    <d v="2026-05-02T00:00:00"/>
    <x v="19"/>
    <x v="3"/>
    <x v="2"/>
    <x v="0"/>
    <n v="6"/>
    <n v="7357"/>
    <n v="44142"/>
    <x v="0"/>
    <n v="44142"/>
  </r>
  <r>
    <s v="ORD0435"/>
    <d v="2026-06-03T00:00:00"/>
    <x v="8"/>
    <x v="0"/>
    <x v="0"/>
    <x v="3"/>
    <n v="5"/>
    <n v="1720"/>
    <n v="8600"/>
    <x v="5"/>
    <n v="8600"/>
  </r>
  <r>
    <s v="ORD0436"/>
    <d v="2026-03-31T00:00:00"/>
    <x v="13"/>
    <x v="7"/>
    <x v="2"/>
    <x v="1"/>
    <n v="5"/>
    <n v="9016"/>
    <n v="45080"/>
    <x v="6"/>
    <n v="45080"/>
  </r>
  <r>
    <s v="ORD0437"/>
    <d v="2026-11-26T00:00:00"/>
    <x v="6"/>
    <x v="11"/>
    <x v="1"/>
    <x v="1"/>
    <n v="1"/>
    <n v="12907"/>
    <n v="12907"/>
    <x v="3"/>
    <n v="12907"/>
  </r>
  <r>
    <s v="ORD0438"/>
    <d v="2026-03-18T00:00:00"/>
    <x v="19"/>
    <x v="5"/>
    <x v="3"/>
    <x v="2"/>
    <n v="6"/>
    <n v="789"/>
    <n v="4734"/>
    <x v="6"/>
    <n v="4734"/>
  </r>
  <r>
    <s v="ORD0439"/>
    <d v="2026-04-26T00:00:00"/>
    <x v="19"/>
    <x v="1"/>
    <x v="1"/>
    <x v="0"/>
    <n v="5"/>
    <n v="17924"/>
    <n v="89620"/>
    <x v="2"/>
    <n v="89620"/>
  </r>
  <r>
    <s v="ORD0440"/>
    <d v="2026-08-02T00:00:00"/>
    <x v="2"/>
    <x v="11"/>
    <x v="1"/>
    <x v="1"/>
    <n v="1"/>
    <n v="12120"/>
    <n v="12120"/>
    <x v="10"/>
    <n v="12120"/>
  </r>
  <r>
    <s v="ORD0441"/>
    <d v="2026-04-15T00:00:00"/>
    <x v="18"/>
    <x v="1"/>
    <x v="1"/>
    <x v="3"/>
    <n v="4"/>
    <n v="17259"/>
    <n v="69036"/>
    <x v="2"/>
    <n v="69036"/>
  </r>
  <r>
    <s v="ORD0442"/>
    <d v="2026-04-08T00:00:00"/>
    <x v="12"/>
    <x v="11"/>
    <x v="1"/>
    <x v="4"/>
    <n v="3"/>
    <n v="11218"/>
    <n v="33654"/>
    <x v="2"/>
    <n v="33654"/>
  </r>
  <r>
    <s v="ORD0443"/>
    <d v="2026-01-21T00:00:00"/>
    <x v="1"/>
    <x v="2"/>
    <x v="1"/>
    <x v="0"/>
    <n v="6"/>
    <n v="15252"/>
    <n v="91512"/>
    <x v="4"/>
    <n v="91512"/>
  </r>
  <r>
    <s v="ORD0444"/>
    <d v="2026-04-22T00:00:00"/>
    <x v="17"/>
    <x v="3"/>
    <x v="2"/>
    <x v="0"/>
    <n v="6"/>
    <n v="7192"/>
    <n v="43152"/>
    <x v="2"/>
    <n v="43152"/>
  </r>
  <r>
    <s v="ORD0445"/>
    <d v="2026-01-08T00:00:00"/>
    <x v="9"/>
    <x v="5"/>
    <x v="3"/>
    <x v="0"/>
    <n v="3"/>
    <n v="858"/>
    <n v="2574"/>
    <x v="4"/>
    <n v="2574"/>
  </r>
  <r>
    <s v="ORD0446"/>
    <d v="2026-09-03T00:00:00"/>
    <x v="0"/>
    <x v="9"/>
    <x v="4"/>
    <x v="1"/>
    <n v="1"/>
    <n v="260"/>
    <n v="260"/>
    <x v="11"/>
    <n v="260"/>
  </r>
  <r>
    <s v="ORD0447"/>
    <d v="2026-05-03T00:00:00"/>
    <x v="2"/>
    <x v="9"/>
    <x v="4"/>
    <x v="4"/>
    <n v="2"/>
    <n v="246"/>
    <n v="492"/>
    <x v="0"/>
    <n v="492"/>
  </r>
  <r>
    <s v="ORD0448"/>
    <d v="2026-11-29T00:00:00"/>
    <x v="7"/>
    <x v="10"/>
    <x v="3"/>
    <x v="4"/>
    <n v="4"/>
    <n v="1194"/>
    <n v="4776"/>
    <x v="3"/>
    <n v="4776"/>
  </r>
  <r>
    <s v="ORD0449"/>
    <d v="2026-09-12T00:00:00"/>
    <x v="11"/>
    <x v="10"/>
    <x v="3"/>
    <x v="3"/>
    <n v="3"/>
    <n v="1202"/>
    <n v="3606"/>
    <x v="11"/>
    <n v="3606"/>
  </r>
  <r>
    <s v="ORD0450"/>
    <d v="2026-06-13T00:00:00"/>
    <x v="9"/>
    <x v="9"/>
    <x v="4"/>
    <x v="4"/>
    <n v="4"/>
    <n v="260"/>
    <n v="1040"/>
    <x v="5"/>
    <n v="1040"/>
  </r>
  <r>
    <s v="ORD0451"/>
    <d v="2026-04-24T00:00:00"/>
    <x v="15"/>
    <x v="5"/>
    <x v="3"/>
    <x v="3"/>
    <n v="4"/>
    <n v="742"/>
    <n v="2968"/>
    <x v="2"/>
    <n v="2968"/>
  </r>
  <r>
    <s v="ORD0452"/>
    <d v="2026-10-24T00:00:00"/>
    <x v="13"/>
    <x v="10"/>
    <x v="3"/>
    <x v="4"/>
    <n v="5"/>
    <n v="1283"/>
    <n v="6415"/>
    <x v="1"/>
    <n v="6415"/>
  </r>
  <r>
    <s v="ORD0453"/>
    <d v="2026-07-14T00:00:00"/>
    <x v="10"/>
    <x v="1"/>
    <x v="1"/>
    <x v="0"/>
    <n v="2"/>
    <n v="17510"/>
    <n v="35020"/>
    <x v="8"/>
    <n v="35020"/>
  </r>
  <r>
    <s v="ORD0454"/>
    <d v="2026-12-17T00:00:00"/>
    <x v="18"/>
    <x v="11"/>
    <x v="1"/>
    <x v="4"/>
    <n v="5"/>
    <n v="12297"/>
    <n v="61485"/>
    <x v="7"/>
    <n v="61485"/>
  </r>
  <r>
    <s v="ORD0455"/>
    <d v="2026-09-09T00:00:00"/>
    <x v="11"/>
    <x v="11"/>
    <x v="1"/>
    <x v="0"/>
    <n v="6"/>
    <n v="12272"/>
    <n v="73632"/>
    <x v="11"/>
    <n v="73632"/>
  </r>
  <r>
    <s v="ORD0456"/>
    <d v="2026-10-07T00:00:00"/>
    <x v="17"/>
    <x v="9"/>
    <x v="4"/>
    <x v="0"/>
    <n v="3"/>
    <n v="237"/>
    <n v="711"/>
    <x v="1"/>
    <n v="711"/>
  </r>
  <r>
    <s v="ORD0457"/>
    <d v="2026-09-26T00:00:00"/>
    <x v="12"/>
    <x v="7"/>
    <x v="2"/>
    <x v="3"/>
    <n v="6"/>
    <n v="9122"/>
    <n v="54732"/>
    <x v="11"/>
    <n v="54732"/>
  </r>
  <r>
    <s v="ORD0458"/>
    <d v="2026-07-31T00:00:00"/>
    <x v="15"/>
    <x v="0"/>
    <x v="0"/>
    <x v="0"/>
    <n v="1"/>
    <n v="1876"/>
    <n v="1876"/>
    <x v="8"/>
    <n v="1876"/>
  </r>
  <r>
    <s v="ORD0459"/>
    <d v="2026-04-22T00:00:00"/>
    <x v="14"/>
    <x v="8"/>
    <x v="1"/>
    <x v="2"/>
    <n v="6"/>
    <n v="20772"/>
    <n v="124632"/>
    <x v="2"/>
    <n v="124632"/>
  </r>
  <r>
    <s v="ORD0460"/>
    <d v="2026-12-08T00:00:00"/>
    <x v="5"/>
    <x v="5"/>
    <x v="3"/>
    <x v="2"/>
    <n v="1"/>
    <n v="815"/>
    <n v="815"/>
    <x v="7"/>
    <n v="815"/>
  </r>
  <r>
    <s v="ORD0461"/>
    <d v="2026-09-30T00:00:00"/>
    <x v="2"/>
    <x v="0"/>
    <x v="0"/>
    <x v="2"/>
    <n v="4"/>
    <n v="1661"/>
    <n v="6644"/>
    <x v="11"/>
    <n v="6644"/>
  </r>
  <r>
    <s v="ORD0462"/>
    <d v="2026-05-21T00:00:00"/>
    <x v="2"/>
    <x v="6"/>
    <x v="1"/>
    <x v="4"/>
    <n v="1"/>
    <n v="45212"/>
    <n v="45212"/>
    <x v="0"/>
    <n v="45212"/>
  </r>
  <r>
    <s v="ORD0463"/>
    <d v="2026-12-12T00:00:00"/>
    <x v="13"/>
    <x v="6"/>
    <x v="1"/>
    <x v="0"/>
    <n v="5"/>
    <n v="47255"/>
    <n v="236275"/>
    <x v="7"/>
    <n v="236275"/>
  </r>
  <r>
    <s v="ORD0464"/>
    <d v="2026-05-04T00:00:00"/>
    <x v="9"/>
    <x v="8"/>
    <x v="1"/>
    <x v="1"/>
    <n v="1"/>
    <n v="22086"/>
    <n v="22086"/>
    <x v="0"/>
    <n v="22086"/>
  </r>
  <r>
    <s v="ORD0465"/>
    <d v="2026-05-17T00:00:00"/>
    <x v="6"/>
    <x v="7"/>
    <x v="2"/>
    <x v="3"/>
    <n v="3"/>
    <n v="8929"/>
    <n v="26787"/>
    <x v="0"/>
    <n v="26787"/>
  </r>
  <r>
    <s v="ORD0466"/>
    <d v="2026-05-05T00:00:00"/>
    <x v="0"/>
    <x v="5"/>
    <x v="3"/>
    <x v="4"/>
    <n v="4"/>
    <n v="795"/>
    <n v="3180"/>
    <x v="0"/>
    <n v="3180"/>
  </r>
  <r>
    <s v="ORD0467"/>
    <d v="2026-11-29T00:00:00"/>
    <x v="12"/>
    <x v="0"/>
    <x v="0"/>
    <x v="3"/>
    <n v="1"/>
    <n v="1844"/>
    <n v="1844"/>
    <x v="3"/>
    <n v="1844"/>
  </r>
  <r>
    <s v="ORD0468"/>
    <d v="2026-09-01T00:00:00"/>
    <x v="12"/>
    <x v="2"/>
    <x v="1"/>
    <x v="3"/>
    <n v="4"/>
    <n v="14705"/>
    <n v="58820"/>
    <x v="11"/>
    <n v="58820"/>
  </r>
  <r>
    <s v="ORD0469"/>
    <d v="2026-08-11T00:00:00"/>
    <x v="18"/>
    <x v="9"/>
    <x v="4"/>
    <x v="1"/>
    <n v="2"/>
    <n v="233"/>
    <n v="466"/>
    <x v="10"/>
    <n v="466"/>
  </r>
  <r>
    <s v="ORD0470"/>
    <d v="2026-04-28T00:00:00"/>
    <x v="9"/>
    <x v="8"/>
    <x v="1"/>
    <x v="1"/>
    <n v="5"/>
    <n v="23475"/>
    <n v="117375"/>
    <x v="2"/>
    <n v="117375"/>
  </r>
  <r>
    <s v="ORD0471"/>
    <d v="2026-02-08T00:00:00"/>
    <x v="8"/>
    <x v="11"/>
    <x v="1"/>
    <x v="1"/>
    <n v="3"/>
    <n v="11129"/>
    <n v="33387"/>
    <x v="9"/>
    <n v="33387"/>
  </r>
  <r>
    <s v="ORD0472"/>
    <d v="2026-06-11T00:00:00"/>
    <x v="16"/>
    <x v="3"/>
    <x v="2"/>
    <x v="0"/>
    <n v="6"/>
    <n v="6477"/>
    <n v="38862"/>
    <x v="5"/>
    <n v="38862"/>
  </r>
  <r>
    <s v="ORD0473"/>
    <d v="2026-12-31T00:00:00"/>
    <x v="6"/>
    <x v="3"/>
    <x v="2"/>
    <x v="3"/>
    <n v="2"/>
    <n v="7283"/>
    <n v="14566"/>
    <x v="7"/>
    <n v="14566"/>
  </r>
  <r>
    <s v="ORD0474"/>
    <d v="2026-10-18T00:00:00"/>
    <x v="6"/>
    <x v="10"/>
    <x v="3"/>
    <x v="1"/>
    <n v="2"/>
    <n v="1212"/>
    <n v="2424"/>
    <x v="1"/>
    <n v="2424"/>
  </r>
  <r>
    <s v="ORD0475"/>
    <d v="2026-03-13T00:00:00"/>
    <x v="1"/>
    <x v="5"/>
    <x v="3"/>
    <x v="1"/>
    <n v="4"/>
    <n v="833"/>
    <n v="3332"/>
    <x v="6"/>
    <n v="3332"/>
  </r>
  <r>
    <s v="ORD0476"/>
    <d v="2026-08-12T00:00:00"/>
    <x v="0"/>
    <x v="9"/>
    <x v="4"/>
    <x v="3"/>
    <n v="3"/>
    <n v="232"/>
    <n v="696"/>
    <x v="10"/>
    <n v="696"/>
  </r>
  <r>
    <s v="ORD0477"/>
    <d v="2026-11-01T00:00:00"/>
    <x v="6"/>
    <x v="5"/>
    <x v="3"/>
    <x v="4"/>
    <n v="5"/>
    <n v="834"/>
    <n v="4170"/>
    <x v="3"/>
    <n v="4170"/>
  </r>
  <r>
    <s v="ORD0478"/>
    <d v="2026-08-19T00:00:00"/>
    <x v="17"/>
    <x v="6"/>
    <x v="1"/>
    <x v="0"/>
    <n v="6"/>
    <n v="43368"/>
    <n v="260208"/>
    <x v="10"/>
    <n v="260208"/>
  </r>
  <r>
    <s v="ORD0479"/>
    <d v="2026-08-10T00:00:00"/>
    <x v="3"/>
    <x v="5"/>
    <x v="3"/>
    <x v="1"/>
    <n v="5"/>
    <n v="856"/>
    <n v="4280"/>
    <x v="10"/>
    <n v="4280"/>
  </r>
  <r>
    <s v="ORD0480"/>
    <d v="2026-11-13T00:00:00"/>
    <x v="19"/>
    <x v="0"/>
    <x v="0"/>
    <x v="0"/>
    <n v="4"/>
    <n v="1681"/>
    <n v="6724"/>
    <x v="3"/>
    <n v="6724"/>
  </r>
  <r>
    <s v="ORD0481"/>
    <d v="2026-03-20T00:00:00"/>
    <x v="6"/>
    <x v="9"/>
    <x v="4"/>
    <x v="0"/>
    <n v="1"/>
    <n v="233"/>
    <n v="233"/>
    <x v="6"/>
    <n v="233"/>
  </r>
  <r>
    <s v="ORD0482"/>
    <d v="2026-02-24T00:00:00"/>
    <x v="1"/>
    <x v="9"/>
    <x v="4"/>
    <x v="3"/>
    <n v="4"/>
    <n v="243"/>
    <n v="972"/>
    <x v="9"/>
    <n v="972"/>
  </r>
  <r>
    <s v="ORD0483"/>
    <d v="2026-05-19T00:00:00"/>
    <x v="4"/>
    <x v="10"/>
    <x v="3"/>
    <x v="0"/>
    <n v="4"/>
    <n v="1173"/>
    <n v="4692"/>
    <x v="0"/>
    <n v="4692"/>
  </r>
  <r>
    <s v="ORD0484"/>
    <d v="2026-10-13T00:00:00"/>
    <x v="2"/>
    <x v="8"/>
    <x v="1"/>
    <x v="1"/>
    <n v="2"/>
    <n v="21757"/>
    <n v="43514"/>
    <x v="1"/>
    <n v="43514"/>
  </r>
  <r>
    <s v="ORD0485"/>
    <d v="2026-07-01T00:00:00"/>
    <x v="2"/>
    <x v="2"/>
    <x v="1"/>
    <x v="3"/>
    <n v="1"/>
    <n v="13863"/>
    <n v="13863"/>
    <x v="8"/>
    <n v="13863"/>
  </r>
  <r>
    <s v="ORD0486"/>
    <d v="2026-07-17T00:00:00"/>
    <x v="16"/>
    <x v="3"/>
    <x v="2"/>
    <x v="4"/>
    <n v="5"/>
    <n v="7319"/>
    <n v="36595"/>
    <x v="8"/>
    <n v="36595"/>
  </r>
  <r>
    <s v="ORD0487"/>
    <d v="2026-10-14T00:00:00"/>
    <x v="0"/>
    <x v="2"/>
    <x v="1"/>
    <x v="1"/>
    <n v="4"/>
    <n v="15670"/>
    <n v="62680"/>
    <x v="1"/>
    <n v="62680"/>
  </r>
  <r>
    <s v="ORD0488"/>
    <d v="2026-03-28T00:00:00"/>
    <x v="15"/>
    <x v="7"/>
    <x v="2"/>
    <x v="4"/>
    <n v="2"/>
    <n v="8752"/>
    <n v="17504"/>
    <x v="6"/>
    <n v="17504"/>
  </r>
  <r>
    <s v="ORD0489"/>
    <d v="2026-02-02T00:00:00"/>
    <x v="3"/>
    <x v="10"/>
    <x v="3"/>
    <x v="2"/>
    <n v="3"/>
    <n v="1199"/>
    <n v="3597"/>
    <x v="9"/>
    <n v="3597"/>
  </r>
  <r>
    <s v="ORD0490"/>
    <d v="2026-02-09T00:00:00"/>
    <x v="7"/>
    <x v="10"/>
    <x v="3"/>
    <x v="4"/>
    <n v="4"/>
    <n v="1162"/>
    <n v="4648"/>
    <x v="9"/>
    <n v="4648"/>
  </r>
  <r>
    <s v="ORD0491"/>
    <d v="2026-11-01T00:00:00"/>
    <x v="5"/>
    <x v="4"/>
    <x v="3"/>
    <x v="0"/>
    <n v="6"/>
    <n v="2550"/>
    <n v="15300"/>
    <x v="3"/>
    <n v="15300"/>
  </r>
  <r>
    <s v="ORD0492"/>
    <d v="2026-01-04T00:00:00"/>
    <x v="6"/>
    <x v="11"/>
    <x v="1"/>
    <x v="4"/>
    <n v="1"/>
    <n v="11300"/>
    <n v="11300"/>
    <x v="4"/>
    <n v="11300"/>
  </r>
  <r>
    <s v="ORD0493"/>
    <d v="2026-06-18T00:00:00"/>
    <x v="11"/>
    <x v="3"/>
    <x v="2"/>
    <x v="4"/>
    <n v="4"/>
    <n v="7341"/>
    <n v="29364"/>
    <x v="5"/>
    <n v="29364"/>
  </r>
  <r>
    <s v="ORD0494"/>
    <d v="2026-03-11T00:00:00"/>
    <x v="19"/>
    <x v="2"/>
    <x v="1"/>
    <x v="4"/>
    <n v="6"/>
    <n v="16138"/>
    <n v="96828"/>
    <x v="6"/>
    <n v="96828"/>
  </r>
  <r>
    <s v="ORD0495"/>
    <d v="2026-06-10T00:00:00"/>
    <x v="3"/>
    <x v="3"/>
    <x v="2"/>
    <x v="2"/>
    <n v="6"/>
    <n v="6665"/>
    <n v="39990"/>
    <x v="5"/>
    <n v="39990"/>
  </r>
  <r>
    <s v="ORD0496"/>
    <d v="2026-11-21T00:00:00"/>
    <x v="17"/>
    <x v="5"/>
    <x v="3"/>
    <x v="1"/>
    <n v="3"/>
    <n v="830"/>
    <n v="2490"/>
    <x v="3"/>
    <n v="2490"/>
  </r>
  <r>
    <s v="ORD0497"/>
    <d v="2026-07-21T00:00:00"/>
    <x v="7"/>
    <x v="4"/>
    <x v="3"/>
    <x v="3"/>
    <n v="3"/>
    <n v="2450"/>
    <n v="7350"/>
    <x v="8"/>
    <n v="7350"/>
  </r>
  <r>
    <s v="ORD0498"/>
    <d v="2026-10-07T00:00:00"/>
    <x v="3"/>
    <x v="3"/>
    <x v="2"/>
    <x v="1"/>
    <n v="2"/>
    <n v="7103"/>
    <n v="14206"/>
    <x v="1"/>
    <n v="14206"/>
  </r>
  <r>
    <s v="ORD0499"/>
    <d v="2026-12-29T00:00:00"/>
    <x v="9"/>
    <x v="6"/>
    <x v="1"/>
    <x v="2"/>
    <n v="6"/>
    <n v="44724"/>
    <n v="268344"/>
    <x v="7"/>
    <n v="268344"/>
  </r>
  <r>
    <s v="ORD0500"/>
    <d v="2026-07-29T00:00:00"/>
    <x v="17"/>
    <x v="10"/>
    <x v="3"/>
    <x v="0"/>
    <n v="6"/>
    <n v="1117"/>
    <n v="6702"/>
    <x v="8"/>
    <n v="6702"/>
  </r>
  <r>
    <m/>
    <m/>
    <x v="20"/>
    <x v="12"/>
    <x v="5"/>
    <x v="5"/>
    <m/>
    <m/>
    <m/>
    <x v="1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d v="2026-05-21T00:00:00"/>
    <x v="0"/>
    <x v="0"/>
    <x v="0"/>
    <x v="0"/>
    <n v="1"/>
    <n v="1663"/>
    <x v="0"/>
    <x v="0"/>
    <n v="1663"/>
  </r>
  <r>
    <s v="ORD0002"/>
    <d v="2026-10-07T00:00:00"/>
    <x v="1"/>
    <x v="1"/>
    <x v="1"/>
    <x v="1"/>
    <n v="6"/>
    <n v="16855"/>
    <x v="1"/>
    <x v="1"/>
    <n v="101130"/>
  </r>
  <r>
    <s v="ORD0003"/>
    <d v="2026-04-22T00:00:00"/>
    <x v="0"/>
    <x v="2"/>
    <x v="1"/>
    <x v="1"/>
    <n v="1"/>
    <n v="13872"/>
    <x v="2"/>
    <x v="2"/>
    <n v="13872"/>
  </r>
  <r>
    <s v="ORD0004"/>
    <d v="2026-11-29T00:00:00"/>
    <x v="2"/>
    <x v="3"/>
    <x v="2"/>
    <x v="2"/>
    <n v="1"/>
    <n v="7069"/>
    <x v="3"/>
    <x v="3"/>
    <n v="7069"/>
  </r>
  <r>
    <s v="ORD0005"/>
    <d v="2026-01-04T00:00:00"/>
    <x v="3"/>
    <x v="4"/>
    <x v="3"/>
    <x v="2"/>
    <n v="4"/>
    <n v="2536"/>
    <x v="4"/>
    <x v="4"/>
    <n v="10144"/>
  </r>
  <r>
    <s v="ORD0006"/>
    <d v="2026-06-22T00:00:00"/>
    <x v="4"/>
    <x v="5"/>
    <x v="3"/>
    <x v="3"/>
    <n v="3"/>
    <n v="756"/>
    <x v="5"/>
    <x v="5"/>
    <n v="2268"/>
  </r>
  <r>
    <s v="ORD0007"/>
    <d v="2026-06-26T00:00:00"/>
    <x v="5"/>
    <x v="2"/>
    <x v="1"/>
    <x v="4"/>
    <n v="1"/>
    <n v="14662"/>
    <x v="6"/>
    <x v="5"/>
    <n v="14662"/>
  </r>
  <r>
    <s v="ORD0008"/>
    <d v="2026-03-05T00:00:00"/>
    <x v="6"/>
    <x v="6"/>
    <x v="1"/>
    <x v="3"/>
    <n v="6"/>
    <n v="44708"/>
    <x v="7"/>
    <x v="6"/>
    <n v="268248"/>
  </r>
  <r>
    <s v="ORD0009"/>
    <d v="2026-11-13T00:00:00"/>
    <x v="7"/>
    <x v="7"/>
    <x v="2"/>
    <x v="1"/>
    <n v="3"/>
    <n v="8948"/>
    <x v="8"/>
    <x v="3"/>
    <n v="26844"/>
  </r>
  <r>
    <s v="ORD0010"/>
    <d v="2026-12-05T00:00:00"/>
    <x v="0"/>
    <x v="4"/>
    <x v="3"/>
    <x v="4"/>
    <n v="6"/>
    <n v="2328"/>
    <x v="9"/>
    <x v="7"/>
    <n v="13968"/>
  </r>
  <r>
    <s v="ORD0011"/>
    <d v="2026-07-14T00:00:00"/>
    <x v="8"/>
    <x v="8"/>
    <x v="1"/>
    <x v="2"/>
    <n v="2"/>
    <n v="23290"/>
    <x v="10"/>
    <x v="8"/>
    <n v="46580"/>
  </r>
  <r>
    <s v="ORD0012"/>
    <d v="2026-07-01T00:00:00"/>
    <x v="9"/>
    <x v="0"/>
    <x v="0"/>
    <x v="4"/>
    <n v="3"/>
    <n v="1703"/>
    <x v="11"/>
    <x v="8"/>
    <n v="5109"/>
  </r>
  <r>
    <s v="ORD0013"/>
    <d v="2026-11-08T00:00:00"/>
    <x v="3"/>
    <x v="9"/>
    <x v="4"/>
    <x v="1"/>
    <n v="6"/>
    <n v="256"/>
    <x v="12"/>
    <x v="3"/>
    <n v="1536"/>
  </r>
  <r>
    <s v="ORD0014"/>
    <d v="2026-07-14T00:00:00"/>
    <x v="8"/>
    <x v="9"/>
    <x v="4"/>
    <x v="1"/>
    <n v="2"/>
    <n v="237"/>
    <x v="13"/>
    <x v="8"/>
    <n v="474"/>
  </r>
  <r>
    <s v="ORD0015"/>
    <d v="2026-01-29T00:00:00"/>
    <x v="0"/>
    <x v="4"/>
    <x v="3"/>
    <x v="3"/>
    <n v="6"/>
    <n v="2430"/>
    <x v="14"/>
    <x v="4"/>
    <n v="14580"/>
  </r>
  <r>
    <s v="ORD0016"/>
    <d v="2026-04-19T00:00:00"/>
    <x v="10"/>
    <x v="5"/>
    <x v="3"/>
    <x v="4"/>
    <n v="4"/>
    <n v="770"/>
    <x v="15"/>
    <x v="2"/>
    <n v="3080"/>
  </r>
  <r>
    <s v="ORD0017"/>
    <d v="2026-11-26T00:00:00"/>
    <x v="11"/>
    <x v="4"/>
    <x v="3"/>
    <x v="0"/>
    <n v="6"/>
    <n v="2500"/>
    <x v="16"/>
    <x v="3"/>
    <n v="15000"/>
  </r>
  <r>
    <s v="ORD0018"/>
    <d v="2026-10-15T00:00:00"/>
    <x v="2"/>
    <x v="10"/>
    <x v="3"/>
    <x v="4"/>
    <n v="2"/>
    <n v="1151"/>
    <x v="17"/>
    <x v="1"/>
    <n v="2302"/>
  </r>
  <r>
    <s v="ORD0019"/>
    <d v="2026-10-26T00:00:00"/>
    <x v="6"/>
    <x v="9"/>
    <x v="4"/>
    <x v="4"/>
    <n v="5"/>
    <n v="247"/>
    <x v="18"/>
    <x v="1"/>
    <n v="1235"/>
  </r>
  <r>
    <s v="ORD0020"/>
    <d v="2026-02-16T00:00:00"/>
    <x v="12"/>
    <x v="4"/>
    <x v="3"/>
    <x v="3"/>
    <n v="2"/>
    <n v="2504"/>
    <x v="19"/>
    <x v="9"/>
    <n v="5008"/>
  </r>
  <r>
    <s v="ORD0021"/>
    <d v="2026-12-15T00:00:00"/>
    <x v="13"/>
    <x v="1"/>
    <x v="1"/>
    <x v="1"/>
    <n v="6"/>
    <n v="17021"/>
    <x v="20"/>
    <x v="7"/>
    <n v="102126"/>
  </r>
  <r>
    <s v="ORD0022"/>
    <d v="2026-08-28T00:00:00"/>
    <x v="14"/>
    <x v="8"/>
    <x v="1"/>
    <x v="4"/>
    <n v="4"/>
    <n v="21583"/>
    <x v="21"/>
    <x v="10"/>
    <n v="86332"/>
  </r>
  <r>
    <s v="ORD0023"/>
    <d v="2026-02-28T00:00:00"/>
    <x v="2"/>
    <x v="7"/>
    <x v="2"/>
    <x v="4"/>
    <n v="1"/>
    <n v="8745"/>
    <x v="22"/>
    <x v="9"/>
    <n v="8745"/>
  </r>
  <r>
    <s v="ORD0024"/>
    <d v="2026-08-11T00:00:00"/>
    <x v="3"/>
    <x v="0"/>
    <x v="0"/>
    <x v="2"/>
    <n v="3"/>
    <n v="1688"/>
    <x v="23"/>
    <x v="10"/>
    <n v="5064"/>
  </r>
  <r>
    <s v="ORD0025"/>
    <d v="2026-05-15T00:00:00"/>
    <x v="14"/>
    <x v="6"/>
    <x v="1"/>
    <x v="0"/>
    <n v="6"/>
    <n v="47706"/>
    <x v="24"/>
    <x v="0"/>
    <n v="286236"/>
  </r>
  <r>
    <s v="ORD0026"/>
    <d v="2026-06-02T00:00:00"/>
    <x v="14"/>
    <x v="7"/>
    <x v="2"/>
    <x v="1"/>
    <n v="1"/>
    <n v="9004"/>
    <x v="25"/>
    <x v="5"/>
    <n v="9004"/>
  </r>
  <r>
    <s v="ORD0027"/>
    <d v="2026-03-24T00:00:00"/>
    <x v="2"/>
    <x v="4"/>
    <x v="3"/>
    <x v="1"/>
    <n v="2"/>
    <n v="2450"/>
    <x v="26"/>
    <x v="6"/>
    <n v="4900"/>
  </r>
  <r>
    <s v="ORD0028"/>
    <d v="2026-01-10T00:00:00"/>
    <x v="4"/>
    <x v="6"/>
    <x v="1"/>
    <x v="4"/>
    <n v="5"/>
    <n v="43734"/>
    <x v="27"/>
    <x v="4"/>
    <n v="218670"/>
  </r>
  <r>
    <s v="ORD0029"/>
    <d v="2026-10-18T00:00:00"/>
    <x v="1"/>
    <x v="10"/>
    <x v="3"/>
    <x v="3"/>
    <n v="2"/>
    <n v="1115"/>
    <x v="28"/>
    <x v="1"/>
    <n v="2230"/>
  </r>
  <r>
    <s v="ORD0030"/>
    <d v="2026-09-30T00:00:00"/>
    <x v="15"/>
    <x v="9"/>
    <x v="4"/>
    <x v="0"/>
    <n v="4"/>
    <n v="263"/>
    <x v="29"/>
    <x v="11"/>
    <n v="1052"/>
  </r>
  <r>
    <s v="ORD0031"/>
    <d v="2026-03-26T00:00:00"/>
    <x v="8"/>
    <x v="0"/>
    <x v="0"/>
    <x v="1"/>
    <n v="4"/>
    <n v="1929"/>
    <x v="30"/>
    <x v="6"/>
    <n v="7716"/>
  </r>
  <r>
    <s v="ORD0032"/>
    <d v="2026-10-04T00:00:00"/>
    <x v="9"/>
    <x v="3"/>
    <x v="2"/>
    <x v="4"/>
    <n v="4"/>
    <n v="7520"/>
    <x v="31"/>
    <x v="1"/>
    <n v="30080"/>
  </r>
  <r>
    <s v="ORD0033"/>
    <d v="2026-08-13T00:00:00"/>
    <x v="14"/>
    <x v="2"/>
    <x v="1"/>
    <x v="2"/>
    <n v="6"/>
    <n v="15360"/>
    <x v="32"/>
    <x v="10"/>
    <n v="92160"/>
  </r>
  <r>
    <s v="ORD0034"/>
    <d v="2026-06-23T00:00:00"/>
    <x v="16"/>
    <x v="8"/>
    <x v="1"/>
    <x v="1"/>
    <n v="2"/>
    <n v="21031"/>
    <x v="33"/>
    <x v="5"/>
    <n v="42062"/>
  </r>
  <r>
    <s v="ORD0035"/>
    <d v="2026-01-04T00:00:00"/>
    <x v="1"/>
    <x v="7"/>
    <x v="2"/>
    <x v="3"/>
    <n v="2"/>
    <n v="8620"/>
    <x v="34"/>
    <x v="4"/>
    <n v="17240"/>
  </r>
  <r>
    <s v="ORD0036"/>
    <d v="2026-06-19T00:00:00"/>
    <x v="1"/>
    <x v="4"/>
    <x v="3"/>
    <x v="1"/>
    <n v="1"/>
    <n v="2662"/>
    <x v="35"/>
    <x v="5"/>
    <n v="2662"/>
  </r>
  <r>
    <s v="ORD0037"/>
    <d v="2026-04-20T00:00:00"/>
    <x v="2"/>
    <x v="4"/>
    <x v="3"/>
    <x v="0"/>
    <n v="3"/>
    <n v="2568"/>
    <x v="36"/>
    <x v="2"/>
    <n v="7704"/>
  </r>
  <r>
    <s v="ORD0038"/>
    <d v="2026-05-05T00:00:00"/>
    <x v="17"/>
    <x v="9"/>
    <x v="4"/>
    <x v="2"/>
    <n v="5"/>
    <n v="253"/>
    <x v="37"/>
    <x v="0"/>
    <n v="1265"/>
  </r>
  <r>
    <s v="ORD0039"/>
    <d v="2026-08-09T00:00:00"/>
    <x v="7"/>
    <x v="4"/>
    <x v="3"/>
    <x v="2"/>
    <n v="1"/>
    <n v="2339"/>
    <x v="38"/>
    <x v="10"/>
    <n v="2339"/>
  </r>
  <r>
    <s v="ORD0040"/>
    <d v="2026-01-28T00:00:00"/>
    <x v="4"/>
    <x v="2"/>
    <x v="1"/>
    <x v="3"/>
    <n v="4"/>
    <n v="15873"/>
    <x v="39"/>
    <x v="4"/>
    <n v="63492"/>
  </r>
  <r>
    <s v="ORD0041"/>
    <d v="2026-02-25T00:00:00"/>
    <x v="0"/>
    <x v="2"/>
    <x v="1"/>
    <x v="0"/>
    <n v="6"/>
    <n v="14614"/>
    <x v="40"/>
    <x v="9"/>
    <n v="87684"/>
  </r>
  <r>
    <s v="ORD0042"/>
    <d v="2026-08-05T00:00:00"/>
    <x v="3"/>
    <x v="4"/>
    <x v="3"/>
    <x v="4"/>
    <n v="5"/>
    <n v="2479"/>
    <x v="41"/>
    <x v="10"/>
    <n v="12395"/>
  </r>
  <r>
    <s v="ORD0043"/>
    <d v="2026-02-08T00:00:00"/>
    <x v="11"/>
    <x v="11"/>
    <x v="1"/>
    <x v="1"/>
    <n v="2"/>
    <n v="12719"/>
    <x v="42"/>
    <x v="9"/>
    <n v="25438"/>
  </r>
  <r>
    <s v="ORD0044"/>
    <d v="2026-10-04T00:00:00"/>
    <x v="16"/>
    <x v="8"/>
    <x v="1"/>
    <x v="3"/>
    <n v="1"/>
    <n v="22536"/>
    <x v="43"/>
    <x v="1"/>
    <n v="22536"/>
  </r>
  <r>
    <s v="ORD0045"/>
    <d v="2026-09-04T00:00:00"/>
    <x v="9"/>
    <x v="4"/>
    <x v="3"/>
    <x v="2"/>
    <n v="2"/>
    <n v="2463"/>
    <x v="44"/>
    <x v="11"/>
    <n v="4926"/>
  </r>
  <r>
    <s v="ORD0046"/>
    <d v="2026-07-19T00:00:00"/>
    <x v="8"/>
    <x v="6"/>
    <x v="1"/>
    <x v="2"/>
    <n v="2"/>
    <n v="44129"/>
    <x v="45"/>
    <x v="8"/>
    <n v="88258"/>
  </r>
  <r>
    <s v="ORD0047"/>
    <d v="2026-10-12T00:00:00"/>
    <x v="17"/>
    <x v="10"/>
    <x v="3"/>
    <x v="0"/>
    <n v="4"/>
    <n v="1238"/>
    <x v="46"/>
    <x v="1"/>
    <n v="4952"/>
  </r>
  <r>
    <s v="ORD0048"/>
    <d v="2026-01-30T00:00:00"/>
    <x v="10"/>
    <x v="4"/>
    <x v="3"/>
    <x v="1"/>
    <n v="3"/>
    <n v="2387"/>
    <x v="47"/>
    <x v="4"/>
    <n v="7161"/>
  </r>
  <r>
    <s v="ORD0049"/>
    <d v="2026-01-26T00:00:00"/>
    <x v="10"/>
    <x v="6"/>
    <x v="1"/>
    <x v="2"/>
    <n v="6"/>
    <n v="43658"/>
    <x v="48"/>
    <x v="4"/>
    <n v="261948"/>
  </r>
  <r>
    <s v="ORD0050"/>
    <d v="2026-09-18T00:00:00"/>
    <x v="1"/>
    <x v="7"/>
    <x v="2"/>
    <x v="0"/>
    <n v="5"/>
    <n v="8034"/>
    <x v="49"/>
    <x v="11"/>
    <n v="40170"/>
  </r>
  <r>
    <s v="ORD0051"/>
    <d v="2026-05-01T00:00:00"/>
    <x v="6"/>
    <x v="8"/>
    <x v="1"/>
    <x v="3"/>
    <n v="5"/>
    <n v="20479"/>
    <x v="50"/>
    <x v="0"/>
    <n v="102395"/>
  </r>
  <r>
    <s v="ORD0052"/>
    <d v="2026-01-21T00:00:00"/>
    <x v="5"/>
    <x v="3"/>
    <x v="2"/>
    <x v="3"/>
    <n v="2"/>
    <n v="7088"/>
    <x v="51"/>
    <x v="4"/>
    <n v="14176"/>
  </r>
  <r>
    <s v="ORD0053"/>
    <d v="2026-09-25T00:00:00"/>
    <x v="18"/>
    <x v="2"/>
    <x v="1"/>
    <x v="4"/>
    <n v="6"/>
    <n v="15201"/>
    <x v="52"/>
    <x v="11"/>
    <n v="91206"/>
  </r>
  <r>
    <s v="ORD0054"/>
    <d v="2026-05-03T00:00:00"/>
    <x v="8"/>
    <x v="4"/>
    <x v="3"/>
    <x v="2"/>
    <n v="6"/>
    <n v="2586"/>
    <x v="53"/>
    <x v="0"/>
    <n v="15516"/>
  </r>
  <r>
    <s v="ORD0055"/>
    <d v="2026-08-23T00:00:00"/>
    <x v="18"/>
    <x v="1"/>
    <x v="1"/>
    <x v="3"/>
    <n v="6"/>
    <n v="18419"/>
    <x v="54"/>
    <x v="10"/>
    <n v="110514"/>
  </r>
  <r>
    <s v="ORD0056"/>
    <d v="2026-10-16T00:00:00"/>
    <x v="4"/>
    <x v="6"/>
    <x v="1"/>
    <x v="3"/>
    <n v="4"/>
    <n v="45872"/>
    <x v="55"/>
    <x v="1"/>
    <n v="183488"/>
  </r>
  <r>
    <s v="ORD0057"/>
    <d v="2026-03-09T00:00:00"/>
    <x v="7"/>
    <x v="7"/>
    <x v="2"/>
    <x v="3"/>
    <n v="2"/>
    <n v="8508"/>
    <x v="56"/>
    <x v="6"/>
    <n v="17016"/>
  </r>
  <r>
    <s v="ORD0058"/>
    <d v="2026-08-13T00:00:00"/>
    <x v="2"/>
    <x v="4"/>
    <x v="3"/>
    <x v="4"/>
    <n v="3"/>
    <n v="2414"/>
    <x v="57"/>
    <x v="10"/>
    <n v="7242"/>
  </r>
  <r>
    <s v="ORD0059"/>
    <d v="2026-12-08T00:00:00"/>
    <x v="2"/>
    <x v="3"/>
    <x v="2"/>
    <x v="4"/>
    <n v="6"/>
    <n v="7032"/>
    <x v="58"/>
    <x v="7"/>
    <n v="42192"/>
  </r>
  <r>
    <s v="ORD0060"/>
    <d v="2026-03-10T00:00:00"/>
    <x v="8"/>
    <x v="0"/>
    <x v="0"/>
    <x v="3"/>
    <n v="1"/>
    <n v="1926"/>
    <x v="59"/>
    <x v="6"/>
    <n v="1926"/>
  </r>
  <r>
    <s v="ORD0061"/>
    <d v="2026-05-20T00:00:00"/>
    <x v="19"/>
    <x v="8"/>
    <x v="1"/>
    <x v="1"/>
    <n v="6"/>
    <n v="22187"/>
    <x v="60"/>
    <x v="0"/>
    <n v="133122"/>
  </r>
  <r>
    <s v="ORD0062"/>
    <d v="2026-12-18T00:00:00"/>
    <x v="8"/>
    <x v="4"/>
    <x v="3"/>
    <x v="1"/>
    <n v="6"/>
    <n v="2437"/>
    <x v="61"/>
    <x v="7"/>
    <n v="14622"/>
  </r>
  <r>
    <s v="ORD0063"/>
    <d v="2026-01-27T00:00:00"/>
    <x v="1"/>
    <x v="11"/>
    <x v="1"/>
    <x v="2"/>
    <n v="3"/>
    <n v="12778"/>
    <x v="62"/>
    <x v="4"/>
    <n v="38334"/>
  </r>
  <r>
    <s v="ORD0064"/>
    <d v="2026-03-08T00:00:00"/>
    <x v="8"/>
    <x v="10"/>
    <x v="3"/>
    <x v="0"/>
    <n v="1"/>
    <n v="1105"/>
    <x v="63"/>
    <x v="6"/>
    <n v="1105"/>
  </r>
  <r>
    <s v="ORD0065"/>
    <d v="2026-08-07T00:00:00"/>
    <x v="2"/>
    <x v="9"/>
    <x v="4"/>
    <x v="3"/>
    <n v="4"/>
    <n v="252"/>
    <x v="64"/>
    <x v="10"/>
    <n v="1008"/>
  </r>
  <r>
    <s v="ORD0066"/>
    <d v="2026-12-20T00:00:00"/>
    <x v="15"/>
    <x v="8"/>
    <x v="1"/>
    <x v="1"/>
    <n v="1"/>
    <n v="23567"/>
    <x v="65"/>
    <x v="7"/>
    <n v="23567"/>
  </r>
  <r>
    <s v="ORD0067"/>
    <d v="2026-03-17T00:00:00"/>
    <x v="13"/>
    <x v="6"/>
    <x v="1"/>
    <x v="0"/>
    <n v="3"/>
    <n v="45594"/>
    <x v="66"/>
    <x v="6"/>
    <n v="136782"/>
  </r>
  <r>
    <s v="ORD0068"/>
    <d v="2026-01-21T00:00:00"/>
    <x v="7"/>
    <x v="6"/>
    <x v="1"/>
    <x v="0"/>
    <n v="3"/>
    <n v="44025"/>
    <x v="67"/>
    <x v="4"/>
    <n v="132075"/>
  </r>
  <r>
    <s v="ORD0069"/>
    <d v="2026-07-01T00:00:00"/>
    <x v="2"/>
    <x v="0"/>
    <x v="0"/>
    <x v="2"/>
    <n v="2"/>
    <n v="1848"/>
    <x v="68"/>
    <x v="8"/>
    <n v="3696"/>
  </r>
  <r>
    <s v="ORD0070"/>
    <d v="2026-05-02T00:00:00"/>
    <x v="3"/>
    <x v="3"/>
    <x v="2"/>
    <x v="0"/>
    <n v="6"/>
    <n v="6613"/>
    <x v="69"/>
    <x v="0"/>
    <n v="39678"/>
  </r>
  <r>
    <s v="ORD0071"/>
    <d v="2026-06-20T00:00:00"/>
    <x v="13"/>
    <x v="2"/>
    <x v="1"/>
    <x v="0"/>
    <n v="1"/>
    <n v="14230"/>
    <x v="70"/>
    <x v="5"/>
    <n v="14230"/>
  </r>
  <r>
    <s v="ORD0072"/>
    <d v="2026-02-25T00:00:00"/>
    <x v="6"/>
    <x v="10"/>
    <x v="3"/>
    <x v="3"/>
    <n v="2"/>
    <n v="1255"/>
    <x v="71"/>
    <x v="9"/>
    <n v="2510"/>
  </r>
  <r>
    <s v="ORD0073"/>
    <d v="2026-08-24T00:00:00"/>
    <x v="7"/>
    <x v="11"/>
    <x v="1"/>
    <x v="4"/>
    <n v="2"/>
    <n v="11423"/>
    <x v="72"/>
    <x v="10"/>
    <n v="22846"/>
  </r>
  <r>
    <s v="ORD0074"/>
    <d v="2026-04-09T00:00:00"/>
    <x v="6"/>
    <x v="4"/>
    <x v="3"/>
    <x v="4"/>
    <n v="2"/>
    <n v="2309"/>
    <x v="73"/>
    <x v="2"/>
    <n v="4618"/>
  </r>
  <r>
    <s v="ORD0075"/>
    <d v="2026-05-23T00:00:00"/>
    <x v="7"/>
    <x v="10"/>
    <x v="3"/>
    <x v="1"/>
    <n v="1"/>
    <n v="1290"/>
    <x v="74"/>
    <x v="0"/>
    <n v="1290"/>
  </r>
  <r>
    <s v="ORD0076"/>
    <d v="2026-10-02T00:00:00"/>
    <x v="18"/>
    <x v="2"/>
    <x v="1"/>
    <x v="3"/>
    <n v="6"/>
    <n v="16155"/>
    <x v="75"/>
    <x v="1"/>
    <n v="96930"/>
  </r>
  <r>
    <s v="ORD0077"/>
    <d v="2026-05-16T00:00:00"/>
    <x v="12"/>
    <x v="8"/>
    <x v="1"/>
    <x v="3"/>
    <n v="3"/>
    <n v="20869"/>
    <x v="76"/>
    <x v="0"/>
    <n v="62607"/>
  </r>
  <r>
    <s v="ORD0078"/>
    <d v="2026-06-10T00:00:00"/>
    <x v="13"/>
    <x v="3"/>
    <x v="2"/>
    <x v="1"/>
    <n v="4"/>
    <n v="6827"/>
    <x v="77"/>
    <x v="5"/>
    <n v="27308"/>
  </r>
  <r>
    <s v="ORD0079"/>
    <d v="2026-10-23T00:00:00"/>
    <x v="9"/>
    <x v="7"/>
    <x v="2"/>
    <x v="4"/>
    <n v="1"/>
    <n v="8344"/>
    <x v="78"/>
    <x v="1"/>
    <n v="8344"/>
  </r>
  <r>
    <s v="ORD0080"/>
    <d v="2026-09-24T00:00:00"/>
    <x v="2"/>
    <x v="6"/>
    <x v="1"/>
    <x v="0"/>
    <n v="6"/>
    <n v="44540"/>
    <x v="79"/>
    <x v="11"/>
    <n v="267240"/>
  </r>
  <r>
    <s v="ORD0081"/>
    <d v="2026-12-07T00:00:00"/>
    <x v="18"/>
    <x v="5"/>
    <x v="3"/>
    <x v="1"/>
    <n v="4"/>
    <n v="745"/>
    <x v="80"/>
    <x v="7"/>
    <n v="2980"/>
  </r>
  <r>
    <s v="ORD0082"/>
    <d v="2026-06-03T00:00:00"/>
    <x v="14"/>
    <x v="5"/>
    <x v="3"/>
    <x v="4"/>
    <n v="6"/>
    <n v="845"/>
    <x v="81"/>
    <x v="5"/>
    <n v="5070"/>
  </r>
  <r>
    <s v="ORD0083"/>
    <d v="2026-12-23T00:00:00"/>
    <x v="19"/>
    <x v="0"/>
    <x v="0"/>
    <x v="1"/>
    <n v="4"/>
    <n v="1750"/>
    <x v="82"/>
    <x v="7"/>
    <n v="7000"/>
  </r>
  <r>
    <s v="ORD0084"/>
    <d v="2026-07-14T00:00:00"/>
    <x v="3"/>
    <x v="1"/>
    <x v="1"/>
    <x v="1"/>
    <n v="2"/>
    <n v="17771"/>
    <x v="83"/>
    <x v="8"/>
    <n v="35542"/>
  </r>
  <r>
    <s v="ORD0085"/>
    <d v="2026-01-01T00:00:00"/>
    <x v="19"/>
    <x v="3"/>
    <x v="2"/>
    <x v="4"/>
    <n v="3"/>
    <n v="6895"/>
    <x v="84"/>
    <x v="4"/>
    <n v="20685"/>
  </r>
  <r>
    <s v="ORD0086"/>
    <d v="2026-11-07T00:00:00"/>
    <x v="18"/>
    <x v="4"/>
    <x v="3"/>
    <x v="2"/>
    <n v="4"/>
    <n v="2614"/>
    <x v="85"/>
    <x v="3"/>
    <n v="10456"/>
  </r>
  <r>
    <s v="ORD0087"/>
    <d v="2026-09-19T00:00:00"/>
    <x v="17"/>
    <x v="11"/>
    <x v="1"/>
    <x v="0"/>
    <n v="4"/>
    <n v="12337"/>
    <x v="86"/>
    <x v="11"/>
    <n v="49348"/>
  </r>
  <r>
    <s v="ORD0088"/>
    <d v="2026-12-06T00:00:00"/>
    <x v="5"/>
    <x v="0"/>
    <x v="0"/>
    <x v="4"/>
    <n v="1"/>
    <n v="1738"/>
    <x v="87"/>
    <x v="7"/>
    <n v="1738"/>
  </r>
  <r>
    <s v="ORD0089"/>
    <d v="2026-04-26T00:00:00"/>
    <x v="9"/>
    <x v="8"/>
    <x v="1"/>
    <x v="0"/>
    <n v="2"/>
    <n v="22608"/>
    <x v="88"/>
    <x v="2"/>
    <n v="45216"/>
  </r>
  <r>
    <s v="ORD0090"/>
    <d v="2026-09-01T00:00:00"/>
    <x v="5"/>
    <x v="6"/>
    <x v="1"/>
    <x v="3"/>
    <n v="1"/>
    <n v="43163"/>
    <x v="89"/>
    <x v="11"/>
    <n v="43163"/>
  </r>
  <r>
    <s v="ORD0091"/>
    <d v="2026-10-22T00:00:00"/>
    <x v="9"/>
    <x v="11"/>
    <x v="1"/>
    <x v="2"/>
    <n v="4"/>
    <n v="12741"/>
    <x v="90"/>
    <x v="1"/>
    <n v="50964"/>
  </r>
  <r>
    <s v="ORD0092"/>
    <d v="2026-12-02T00:00:00"/>
    <x v="16"/>
    <x v="11"/>
    <x v="1"/>
    <x v="3"/>
    <n v="4"/>
    <n v="11508"/>
    <x v="91"/>
    <x v="7"/>
    <n v="46032"/>
  </r>
  <r>
    <s v="ORD0093"/>
    <d v="2026-12-23T00:00:00"/>
    <x v="14"/>
    <x v="2"/>
    <x v="1"/>
    <x v="2"/>
    <n v="2"/>
    <n v="14222"/>
    <x v="92"/>
    <x v="7"/>
    <n v="28444"/>
  </r>
  <r>
    <s v="ORD0094"/>
    <d v="2026-03-04T00:00:00"/>
    <x v="11"/>
    <x v="6"/>
    <x v="1"/>
    <x v="0"/>
    <n v="5"/>
    <n v="43194"/>
    <x v="93"/>
    <x v="6"/>
    <n v="215970"/>
  </r>
  <r>
    <s v="ORD0095"/>
    <d v="2026-10-14T00:00:00"/>
    <x v="5"/>
    <x v="11"/>
    <x v="1"/>
    <x v="4"/>
    <n v="6"/>
    <n v="12060"/>
    <x v="94"/>
    <x v="1"/>
    <n v="72360"/>
  </r>
  <r>
    <s v="ORD0096"/>
    <d v="2026-09-16T00:00:00"/>
    <x v="13"/>
    <x v="11"/>
    <x v="1"/>
    <x v="1"/>
    <n v="5"/>
    <n v="12605"/>
    <x v="95"/>
    <x v="11"/>
    <n v="63025"/>
  </r>
  <r>
    <s v="ORD0097"/>
    <d v="2026-09-01T00:00:00"/>
    <x v="11"/>
    <x v="11"/>
    <x v="1"/>
    <x v="4"/>
    <n v="2"/>
    <n v="12468"/>
    <x v="96"/>
    <x v="11"/>
    <n v="24936"/>
  </r>
  <r>
    <s v="ORD0098"/>
    <d v="2026-09-24T00:00:00"/>
    <x v="17"/>
    <x v="4"/>
    <x v="3"/>
    <x v="0"/>
    <n v="6"/>
    <n v="2411"/>
    <x v="97"/>
    <x v="11"/>
    <n v="14466"/>
  </r>
  <r>
    <s v="ORD0099"/>
    <d v="2026-05-27T00:00:00"/>
    <x v="0"/>
    <x v="10"/>
    <x v="3"/>
    <x v="4"/>
    <n v="4"/>
    <n v="1119"/>
    <x v="98"/>
    <x v="0"/>
    <n v="4476"/>
  </r>
  <r>
    <s v="ORD0100"/>
    <d v="2026-02-11T00:00:00"/>
    <x v="15"/>
    <x v="5"/>
    <x v="3"/>
    <x v="0"/>
    <n v="3"/>
    <n v="850"/>
    <x v="99"/>
    <x v="9"/>
    <n v="2550"/>
  </r>
  <r>
    <s v="ORD0101"/>
    <d v="2026-12-28T00:00:00"/>
    <x v="9"/>
    <x v="4"/>
    <x v="3"/>
    <x v="3"/>
    <n v="4"/>
    <n v="2578"/>
    <x v="100"/>
    <x v="7"/>
    <n v="10312"/>
  </r>
  <r>
    <s v="ORD0102"/>
    <d v="2026-08-27T00:00:00"/>
    <x v="13"/>
    <x v="2"/>
    <x v="1"/>
    <x v="3"/>
    <n v="4"/>
    <n v="14594"/>
    <x v="101"/>
    <x v="10"/>
    <n v="58376"/>
  </r>
  <r>
    <s v="ORD0103"/>
    <d v="2026-10-27T00:00:00"/>
    <x v="16"/>
    <x v="4"/>
    <x v="3"/>
    <x v="1"/>
    <n v="4"/>
    <n v="2456"/>
    <x v="102"/>
    <x v="1"/>
    <n v="9824"/>
  </r>
  <r>
    <s v="ORD0104"/>
    <d v="2026-06-30T00:00:00"/>
    <x v="19"/>
    <x v="2"/>
    <x v="1"/>
    <x v="2"/>
    <n v="4"/>
    <n v="13814"/>
    <x v="103"/>
    <x v="5"/>
    <n v="55256"/>
  </r>
  <r>
    <s v="ORD0105"/>
    <d v="2026-10-07T00:00:00"/>
    <x v="5"/>
    <x v="2"/>
    <x v="1"/>
    <x v="0"/>
    <n v="5"/>
    <n v="15594"/>
    <x v="104"/>
    <x v="1"/>
    <n v="77970"/>
  </r>
  <r>
    <s v="ORD0106"/>
    <d v="2026-09-06T00:00:00"/>
    <x v="16"/>
    <x v="11"/>
    <x v="1"/>
    <x v="2"/>
    <n v="2"/>
    <n v="11564"/>
    <x v="105"/>
    <x v="11"/>
    <n v="23128"/>
  </r>
  <r>
    <s v="ORD0107"/>
    <d v="2026-07-27T00:00:00"/>
    <x v="3"/>
    <x v="5"/>
    <x v="3"/>
    <x v="2"/>
    <n v="6"/>
    <n v="823"/>
    <x v="106"/>
    <x v="8"/>
    <n v="4938"/>
  </r>
  <r>
    <s v="ORD0108"/>
    <d v="2026-07-21T00:00:00"/>
    <x v="10"/>
    <x v="1"/>
    <x v="1"/>
    <x v="1"/>
    <n v="5"/>
    <n v="18098"/>
    <x v="107"/>
    <x v="8"/>
    <n v="90490"/>
  </r>
  <r>
    <s v="ORD0109"/>
    <d v="2026-08-08T00:00:00"/>
    <x v="15"/>
    <x v="0"/>
    <x v="0"/>
    <x v="2"/>
    <n v="1"/>
    <n v="1680"/>
    <x v="108"/>
    <x v="10"/>
    <n v="1680"/>
  </r>
  <r>
    <s v="ORD0110"/>
    <d v="2026-06-17T00:00:00"/>
    <x v="9"/>
    <x v="1"/>
    <x v="1"/>
    <x v="2"/>
    <n v="1"/>
    <n v="17309"/>
    <x v="109"/>
    <x v="5"/>
    <n v="17309"/>
  </r>
  <r>
    <s v="ORD0111"/>
    <d v="2026-07-14T00:00:00"/>
    <x v="8"/>
    <x v="5"/>
    <x v="3"/>
    <x v="2"/>
    <n v="3"/>
    <n v="833"/>
    <x v="110"/>
    <x v="8"/>
    <n v="2499"/>
  </r>
  <r>
    <s v="ORD0112"/>
    <d v="2026-10-04T00:00:00"/>
    <x v="12"/>
    <x v="10"/>
    <x v="3"/>
    <x v="4"/>
    <n v="1"/>
    <n v="1194"/>
    <x v="111"/>
    <x v="1"/>
    <n v="1194"/>
  </r>
  <r>
    <s v="ORD0113"/>
    <d v="2026-11-30T00:00:00"/>
    <x v="12"/>
    <x v="4"/>
    <x v="3"/>
    <x v="3"/>
    <n v="6"/>
    <n v="2327"/>
    <x v="112"/>
    <x v="3"/>
    <n v="13962"/>
  </r>
  <r>
    <s v="ORD0114"/>
    <d v="2026-11-15T00:00:00"/>
    <x v="15"/>
    <x v="4"/>
    <x v="3"/>
    <x v="0"/>
    <n v="2"/>
    <n v="2636"/>
    <x v="113"/>
    <x v="3"/>
    <n v="5272"/>
  </r>
  <r>
    <s v="ORD0115"/>
    <d v="2026-10-16T00:00:00"/>
    <x v="9"/>
    <x v="1"/>
    <x v="1"/>
    <x v="2"/>
    <n v="4"/>
    <n v="18488"/>
    <x v="114"/>
    <x v="1"/>
    <n v="73952"/>
  </r>
  <r>
    <s v="ORD0116"/>
    <d v="2026-03-27T00:00:00"/>
    <x v="5"/>
    <x v="9"/>
    <x v="4"/>
    <x v="1"/>
    <n v="3"/>
    <n v="261"/>
    <x v="115"/>
    <x v="6"/>
    <n v="783"/>
  </r>
  <r>
    <s v="ORD0117"/>
    <d v="2026-03-25T00:00:00"/>
    <x v="19"/>
    <x v="9"/>
    <x v="4"/>
    <x v="3"/>
    <n v="6"/>
    <n v="235"/>
    <x v="116"/>
    <x v="6"/>
    <n v="1410"/>
  </r>
  <r>
    <s v="ORD0118"/>
    <d v="2026-10-22T00:00:00"/>
    <x v="6"/>
    <x v="3"/>
    <x v="2"/>
    <x v="2"/>
    <n v="1"/>
    <n v="7480"/>
    <x v="117"/>
    <x v="1"/>
    <n v="7480"/>
  </r>
  <r>
    <s v="ORD0119"/>
    <d v="2026-12-20T00:00:00"/>
    <x v="0"/>
    <x v="9"/>
    <x v="4"/>
    <x v="3"/>
    <n v="2"/>
    <n v="233"/>
    <x v="118"/>
    <x v="7"/>
    <n v="466"/>
  </r>
  <r>
    <s v="ORD0120"/>
    <d v="2026-11-04T00:00:00"/>
    <x v="4"/>
    <x v="9"/>
    <x v="4"/>
    <x v="1"/>
    <n v="3"/>
    <n v="264"/>
    <x v="119"/>
    <x v="3"/>
    <n v="792"/>
  </r>
  <r>
    <s v="ORD0121"/>
    <d v="2026-12-05T00:00:00"/>
    <x v="7"/>
    <x v="6"/>
    <x v="1"/>
    <x v="3"/>
    <n v="3"/>
    <n v="45236"/>
    <x v="120"/>
    <x v="7"/>
    <n v="135708"/>
  </r>
  <r>
    <s v="ORD0122"/>
    <d v="2026-08-04T00:00:00"/>
    <x v="17"/>
    <x v="7"/>
    <x v="2"/>
    <x v="3"/>
    <n v="6"/>
    <n v="8284"/>
    <x v="121"/>
    <x v="10"/>
    <n v="49704"/>
  </r>
  <r>
    <s v="ORD0123"/>
    <d v="2026-08-24T00:00:00"/>
    <x v="15"/>
    <x v="2"/>
    <x v="1"/>
    <x v="2"/>
    <n v="3"/>
    <n v="15325"/>
    <x v="122"/>
    <x v="10"/>
    <n v="45975"/>
  </r>
  <r>
    <s v="ORD0124"/>
    <d v="2026-11-30T00:00:00"/>
    <x v="8"/>
    <x v="1"/>
    <x v="1"/>
    <x v="1"/>
    <n v="6"/>
    <n v="18063"/>
    <x v="123"/>
    <x v="3"/>
    <n v="108378"/>
  </r>
  <r>
    <s v="ORD0125"/>
    <d v="2026-10-31T00:00:00"/>
    <x v="8"/>
    <x v="7"/>
    <x v="2"/>
    <x v="4"/>
    <n v="4"/>
    <n v="8452"/>
    <x v="124"/>
    <x v="1"/>
    <n v="33808"/>
  </r>
  <r>
    <s v="ORD0126"/>
    <d v="2026-08-19T00:00:00"/>
    <x v="0"/>
    <x v="4"/>
    <x v="3"/>
    <x v="2"/>
    <n v="1"/>
    <n v="2412"/>
    <x v="125"/>
    <x v="10"/>
    <n v="2412"/>
  </r>
  <r>
    <s v="ORD0127"/>
    <d v="2026-06-22T00:00:00"/>
    <x v="16"/>
    <x v="3"/>
    <x v="2"/>
    <x v="2"/>
    <n v="5"/>
    <n v="7188"/>
    <x v="126"/>
    <x v="5"/>
    <n v="35940"/>
  </r>
  <r>
    <s v="ORD0128"/>
    <d v="2026-07-01T00:00:00"/>
    <x v="8"/>
    <x v="5"/>
    <x v="3"/>
    <x v="4"/>
    <n v="2"/>
    <n v="798"/>
    <x v="127"/>
    <x v="8"/>
    <n v="1596"/>
  </r>
  <r>
    <s v="ORD0129"/>
    <d v="2026-05-22T00:00:00"/>
    <x v="2"/>
    <x v="10"/>
    <x v="3"/>
    <x v="3"/>
    <n v="5"/>
    <n v="1239"/>
    <x v="128"/>
    <x v="0"/>
    <n v="6195"/>
  </r>
  <r>
    <s v="ORD0130"/>
    <d v="2026-07-28T00:00:00"/>
    <x v="17"/>
    <x v="7"/>
    <x v="2"/>
    <x v="1"/>
    <n v="2"/>
    <n v="7936"/>
    <x v="129"/>
    <x v="8"/>
    <n v="15872"/>
  </r>
  <r>
    <s v="ORD0131"/>
    <d v="2026-12-31T00:00:00"/>
    <x v="17"/>
    <x v="4"/>
    <x v="3"/>
    <x v="2"/>
    <n v="6"/>
    <n v="2490"/>
    <x v="130"/>
    <x v="7"/>
    <n v="14940"/>
  </r>
  <r>
    <s v="ORD0132"/>
    <d v="2026-07-27T00:00:00"/>
    <x v="0"/>
    <x v="6"/>
    <x v="1"/>
    <x v="4"/>
    <n v="1"/>
    <n v="43518"/>
    <x v="131"/>
    <x v="8"/>
    <n v="43518"/>
  </r>
  <r>
    <s v="ORD0133"/>
    <d v="2026-10-11T00:00:00"/>
    <x v="14"/>
    <x v="0"/>
    <x v="0"/>
    <x v="4"/>
    <n v="5"/>
    <n v="1762"/>
    <x v="132"/>
    <x v="1"/>
    <n v="8810"/>
  </r>
  <r>
    <s v="ORD0134"/>
    <d v="2026-06-30T00:00:00"/>
    <x v="11"/>
    <x v="2"/>
    <x v="1"/>
    <x v="4"/>
    <n v="6"/>
    <n v="15121"/>
    <x v="133"/>
    <x v="5"/>
    <n v="90726"/>
  </r>
  <r>
    <s v="ORD0135"/>
    <d v="2026-04-09T00:00:00"/>
    <x v="18"/>
    <x v="10"/>
    <x v="3"/>
    <x v="3"/>
    <n v="3"/>
    <n v="1148"/>
    <x v="134"/>
    <x v="2"/>
    <n v="3444"/>
  </r>
  <r>
    <s v="ORD0136"/>
    <d v="2026-12-20T00:00:00"/>
    <x v="3"/>
    <x v="9"/>
    <x v="4"/>
    <x v="0"/>
    <n v="5"/>
    <n v="268"/>
    <x v="135"/>
    <x v="7"/>
    <n v="1340"/>
  </r>
  <r>
    <s v="ORD0137"/>
    <d v="2026-10-29T00:00:00"/>
    <x v="14"/>
    <x v="4"/>
    <x v="3"/>
    <x v="1"/>
    <n v="6"/>
    <n v="2494"/>
    <x v="136"/>
    <x v="1"/>
    <n v="14964"/>
  </r>
  <r>
    <s v="ORD0138"/>
    <d v="2026-06-01T00:00:00"/>
    <x v="0"/>
    <x v="10"/>
    <x v="3"/>
    <x v="4"/>
    <n v="1"/>
    <n v="1264"/>
    <x v="137"/>
    <x v="5"/>
    <n v="1264"/>
  </r>
  <r>
    <s v="ORD0139"/>
    <d v="2026-10-01T00:00:00"/>
    <x v="15"/>
    <x v="1"/>
    <x v="1"/>
    <x v="4"/>
    <n v="3"/>
    <n v="16601"/>
    <x v="138"/>
    <x v="1"/>
    <n v="49803"/>
  </r>
  <r>
    <s v="ORD0140"/>
    <d v="2026-12-24T00:00:00"/>
    <x v="15"/>
    <x v="6"/>
    <x v="1"/>
    <x v="2"/>
    <n v="1"/>
    <n v="45384"/>
    <x v="139"/>
    <x v="7"/>
    <n v="45384"/>
  </r>
  <r>
    <s v="ORD0141"/>
    <d v="2026-08-29T00:00:00"/>
    <x v="17"/>
    <x v="8"/>
    <x v="1"/>
    <x v="2"/>
    <n v="1"/>
    <n v="22261"/>
    <x v="140"/>
    <x v="10"/>
    <n v="22261"/>
  </r>
  <r>
    <s v="ORD0142"/>
    <d v="2026-05-10T00:00:00"/>
    <x v="17"/>
    <x v="5"/>
    <x v="3"/>
    <x v="3"/>
    <n v="2"/>
    <n v="860"/>
    <x v="141"/>
    <x v="0"/>
    <n v="1720"/>
  </r>
  <r>
    <s v="ORD0143"/>
    <d v="2026-10-23T00:00:00"/>
    <x v="12"/>
    <x v="8"/>
    <x v="1"/>
    <x v="0"/>
    <n v="4"/>
    <n v="21971"/>
    <x v="142"/>
    <x v="1"/>
    <n v="87884"/>
  </r>
  <r>
    <s v="ORD0144"/>
    <d v="2026-02-13T00:00:00"/>
    <x v="0"/>
    <x v="1"/>
    <x v="1"/>
    <x v="3"/>
    <n v="5"/>
    <n v="19293"/>
    <x v="143"/>
    <x v="9"/>
    <n v="96465"/>
  </r>
  <r>
    <s v="ORD0145"/>
    <d v="2026-11-13T00:00:00"/>
    <x v="0"/>
    <x v="7"/>
    <x v="2"/>
    <x v="1"/>
    <n v="4"/>
    <n v="8645"/>
    <x v="144"/>
    <x v="3"/>
    <n v="34580"/>
  </r>
  <r>
    <s v="ORD0146"/>
    <d v="2026-06-02T00:00:00"/>
    <x v="10"/>
    <x v="2"/>
    <x v="1"/>
    <x v="2"/>
    <n v="4"/>
    <n v="15980"/>
    <x v="145"/>
    <x v="5"/>
    <n v="63920"/>
  </r>
  <r>
    <s v="ORD0147"/>
    <d v="2026-11-09T00:00:00"/>
    <x v="4"/>
    <x v="10"/>
    <x v="3"/>
    <x v="0"/>
    <n v="5"/>
    <n v="1223"/>
    <x v="146"/>
    <x v="3"/>
    <n v="6115"/>
  </r>
  <r>
    <s v="ORD0148"/>
    <d v="2026-02-11T00:00:00"/>
    <x v="3"/>
    <x v="0"/>
    <x v="0"/>
    <x v="0"/>
    <n v="2"/>
    <n v="1732"/>
    <x v="147"/>
    <x v="9"/>
    <n v="3464"/>
  </r>
  <r>
    <s v="ORD0149"/>
    <d v="2026-01-02T00:00:00"/>
    <x v="13"/>
    <x v="1"/>
    <x v="1"/>
    <x v="2"/>
    <n v="5"/>
    <n v="16776"/>
    <x v="148"/>
    <x v="4"/>
    <n v="83880"/>
  </r>
  <r>
    <s v="ORD0150"/>
    <d v="2026-01-17T00:00:00"/>
    <x v="0"/>
    <x v="9"/>
    <x v="4"/>
    <x v="4"/>
    <n v="5"/>
    <n v="249"/>
    <x v="149"/>
    <x v="4"/>
    <n v="1245"/>
  </r>
  <r>
    <s v="ORD0151"/>
    <d v="2026-08-21T00:00:00"/>
    <x v="1"/>
    <x v="9"/>
    <x v="4"/>
    <x v="0"/>
    <n v="3"/>
    <n v="258"/>
    <x v="150"/>
    <x v="10"/>
    <n v="774"/>
  </r>
  <r>
    <s v="ORD0152"/>
    <d v="2026-04-12T00:00:00"/>
    <x v="13"/>
    <x v="10"/>
    <x v="3"/>
    <x v="3"/>
    <n v="6"/>
    <n v="1217"/>
    <x v="151"/>
    <x v="2"/>
    <n v="7302"/>
  </r>
  <r>
    <s v="ORD0153"/>
    <d v="2026-05-17T00:00:00"/>
    <x v="15"/>
    <x v="7"/>
    <x v="2"/>
    <x v="3"/>
    <n v="2"/>
    <n v="8701"/>
    <x v="152"/>
    <x v="0"/>
    <n v="17402"/>
  </r>
  <r>
    <s v="ORD0154"/>
    <d v="2026-11-01T00:00:00"/>
    <x v="10"/>
    <x v="6"/>
    <x v="1"/>
    <x v="4"/>
    <n v="2"/>
    <n v="47107"/>
    <x v="153"/>
    <x v="3"/>
    <n v="94214"/>
  </r>
  <r>
    <s v="ORD0155"/>
    <d v="2026-06-05T00:00:00"/>
    <x v="6"/>
    <x v="11"/>
    <x v="1"/>
    <x v="4"/>
    <n v="1"/>
    <n v="11940"/>
    <x v="154"/>
    <x v="5"/>
    <n v="11940"/>
  </r>
  <r>
    <s v="ORD0156"/>
    <d v="2026-02-11T00:00:00"/>
    <x v="5"/>
    <x v="7"/>
    <x v="2"/>
    <x v="3"/>
    <n v="5"/>
    <n v="8492"/>
    <x v="155"/>
    <x v="9"/>
    <n v="42460"/>
  </r>
  <r>
    <s v="ORD0157"/>
    <d v="2026-05-09T00:00:00"/>
    <x v="16"/>
    <x v="2"/>
    <x v="1"/>
    <x v="3"/>
    <n v="6"/>
    <n v="14574"/>
    <x v="156"/>
    <x v="0"/>
    <n v="87444"/>
  </r>
  <r>
    <s v="ORD0158"/>
    <d v="2026-10-22T00:00:00"/>
    <x v="10"/>
    <x v="4"/>
    <x v="3"/>
    <x v="3"/>
    <n v="6"/>
    <n v="2634"/>
    <x v="157"/>
    <x v="1"/>
    <n v="15804"/>
  </r>
  <r>
    <s v="ORD0159"/>
    <d v="2026-03-31T00:00:00"/>
    <x v="17"/>
    <x v="0"/>
    <x v="0"/>
    <x v="1"/>
    <n v="3"/>
    <n v="1822"/>
    <x v="158"/>
    <x v="6"/>
    <n v="5466"/>
  </r>
  <r>
    <s v="ORD0160"/>
    <d v="2026-04-03T00:00:00"/>
    <x v="10"/>
    <x v="0"/>
    <x v="0"/>
    <x v="2"/>
    <n v="4"/>
    <n v="1920"/>
    <x v="159"/>
    <x v="2"/>
    <n v="7680"/>
  </r>
  <r>
    <s v="ORD0161"/>
    <d v="2026-08-29T00:00:00"/>
    <x v="7"/>
    <x v="0"/>
    <x v="0"/>
    <x v="2"/>
    <n v="4"/>
    <n v="1935"/>
    <x v="160"/>
    <x v="10"/>
    <n v="7740"/>
  </r>
  <r>
    <s v="ORD0162"/>
    <d v="2026-03-24T00:00:00"/>
    <x v="18"/>
    <x v="5"/>
    <x v="3"/>
    <x v="2"/>
    <n v="3"/>
    <n v="822"/>
    <x v="161"/>
    <x v="6"/>
    <n v="2466"/>
  </r>
  <r>
    <s v="ORD0163"/>
    <d v="2026-07-25T00:00:00"/>
    <x v="2"/>
    <x v="9"/>
    <x v="4"/>
    <x v="3"/>
    <n v="4"/>
    <n v="242"/>
    <x v="162"/>
    <x v="8"/>
    <n v="968"/>
  </r>
  <r>
    <s v="ORD0164"/>
    <d v="2026-06-15T00:00:00"/>
    <x v="4"/>
    <x v="11"/>
    <x v="1"/>
    <x v="2"/>
    <n v="1"/>
    <n v="11644"/>
    <x v="163"/>
    <x v="5"/>
    <n v="11644"/>
  </r>
  <r>
    <s v="ORD0165"/>
    <d v="2026-10-05T00:00:00"/>
    <x v="11"/>
    <x v="7"/>
    <x v="2"/>
    <x v="2"/>
    <n v="1"/>
    <n v="8714"/>
    <x v="164"/>
    <x v="1"/>
    <n v="8714"/>
  </r>
  <r>
    <s v="ORD0166"/>
    <d v="2026-11-15T00:00:00"/>
    <x v="17"/>
    <x v="6"/>
    <x v="1"/>
    <x v="2"/>
    <n v="2"/>
    <n v="45133"/>
    <x v="165"/>
    <x v="3"/>
    <n v="90266"/>
  </r>
  <r>
    <s v="ORD0167"/>
    <d v="2026-03-09T00:00:00"/>
    <x v="19"/>
    <x v="6"/>
    <x v="1"/>
    <x v="2"/>
    <n v="2"/>
    <n v="43323"/>
    <x v="166"/>
    <x v="6"/>
    <n v="86646"/>
  </r>
  <r>
    <s v="ORD0168"/>
    <d v="2026-11-19T00:00:00"/>
    <x v="5"/>
    <x v="9"/>
    <x v="4"/>
    <x v="0"/>
    <n v="4"/>
    <n v="235"/>
    <x v="167"/>
    <x v="3"/>
    <n v="940"/>
  </r>
  <r>
    <s v="ORD0169"/>
    <d v="2026-01-08T00:00:00"/>
    <x v="2"/>
    <x v="9"/>
    <x v="4"/>
    <x v="2"/>
    <n v="2"/>
    <n v="242"/>
    <x v="168"/>
    <x v="4"/>
    <n v="484"/>
  </r>
  <r>
    <s v="ORD0170"/>
    <d v="2026-02-28T00:00:00"/>
    <x v="11"/>
    <x v="8"/>
    <x v="1"/>
    <x v="3"/>
    <n v="2"/>
    <n v="23733"/>
    <x v="169"/>
    <x v="9"/>
    <n v="47466"/>
  </r>
  <r>
    <s v="ORD0171"/>
    <d v="2026-05-30T00:00:00"/>
    <x v="14"/>
    <x v="0"/>
    <x v="0"/>
    <x v="4"/>
    <n v="2"/>
    <n v="1800"/>
    <x v="170"/>
    <x v="0"/>
    <n v="3600"/>
  </r>
  <r>
    <s v="ORD0172"/>
    <d v="2026-05-05T00:00:00"/>
    <x v="11"/>
    <x v="2"/>
    <x v="1"/>
    <x v="1"/>
    <n v="4"/>
    <n v="16153"/>
    <x v="171"/>
    <x v="0"/>
    <n v="64612"/>
  </r>
  <r>
    <s v="ORD0173"/>
    <d v="2026-11-03T00:00:00"/>
    <x v="14"/>
    <x v="1"/>
    <x v="1"/>
    <x v="0"/>
    <n v="4"/>
    <n v="17109"/>
    <x v="172"/>
    <x v="3"/>
    <n v="68436"/>
  </r>
  <r>
    <s v="ORD0174"/>
    <d v="2026-08-01T00:00:00"/>
    <x v="18"/>
    <x v="8"/>
    <x v="1"/>
    <x v="1"/>
    <n v="3"/>
    <n v="22960"/>
    <x v="173"/>
    <x v="10"/>
    <n v="68880"/>
  </r>
  <r>
    <s v="ORD0175"/>
    <d v="2026-06-02T00:00:00"/>
    <x v="10"/>
    <x v="10"/>
    <x v="3"/>
    <x v="1"/>
    <n v="1"/>
    <n v="1158"/>
    <x v="174"/>
    <x v="5"/>
    <n v="1158"/>
  </r>
  <r>
    <s v="ORD0176"/>
    <d v="2026-08-17T00:00:00"/>
    <x v="2"/>
    <x v="0"/>
    <x v="0"/>
    <x v="2"/>
    <n v="4"/>
    <n v="1905"/>
    <x v="175"/>
    <x v="10"/>
    <n v="7620"/>
  </r>
  <r>
    <s v="ORD0177"/>
    <d v="2026-10-06T00:00:00"/>
    <x v="6"/>
    <x v="5"/>
    <x v="3"/>
    <x v="2"/>
    <n v="3"/>
    <n v="807"/>
    <x v="176"/>
    <x v="1"/>
    <n v="2421"/>
  </r>
  <r>
    <s v="ORD0178"/>
    <d v="2026-05-03T00:00:00"/>
    <x v="10"/>
    <x v="5"/>
    <x v="3"/>
    <x v="2"/>
    <n v="2"/>
    <n v="862"/>
    <x v="177"/>
    <x v="0"/>
    <n v="1724"/>
  </r>
  <r>
    <s v="ORD0179"/>
    <d v="2026-08-31T00:00:00"/>
    <x v="6"/>
    <x v="4"/>
    <x v="3"/>
    <x v="2"/>
    <n v="4"/>
    <n v="2317"/>
    <x v="178"/>
    <x v="10"/>
    <n v="9268"/>
  </r>
  <r>
    <s v="ORD0180"/>
    <d v="2026-09-11T00:00:00"/>
    <x v="12"/>
    <x v="0"/>
    <x v="0"/>
    <x v="0"/>
    <n v="6"/>
    <n v="1938"/>
    <x v="179"/>
    <x v="11"/>
    <n v="11628"/>
  </r>
  <r>
    <s v="ORD0181"/>
    <d v="2026-02-21T00:00:00"/>
    <x v="11"/>
    <x v="7"/>
    <x v="2"/>
    <x v="3"/>
    <n v="5"/>
    <n v="8272"/>
    <x v="180"/>
    <x v="9"/>
    <n v="41360"/>
  </r>
  <r>
    <s v="ORD0182"/>
    <d v="2026-03-15T00:00:00"/>
    <x v="13"/>
    <x v="7"/>
    <x v="2"/>
    <x v="0"/>
    <n v="4"/>
    <n v="7841"/>
    <x v="181"/>
    <x v="6"/>
    <n v="31364"/>
  </r>
  <r>
    <s v="ORD0183"/>
    <d v="2026-05-16T00:00:00"/>
    <x v="18"/>
    <x v="8"/>
    <x v="1"/>
    <x v="1"/>
    <n v="4"/>
    <n v="22991"/>
    <x v="182"/>
    <x v="0"/>
    <n v="91964"/>
  </r>
  <r>
    <s v="ORD0184"/>
    <d v="2026-06-18T00:00:00"/>
    <x v="2"/>
    <x v="9"/>
    <x v="4"/>
    <x v="2"/>
    <n v="4"/>
    <n v="256"/>
    <x v="183"/>
    <x v="5"/>
    <n v="1024"/>
  </r>
  <r>
    <s v="ORD0185"/>
    <d v="2026-09-07T00:00:00"/>
    <x v="2"/>
    <x v="5"/>
    <x v="3"/>
    <x v="3"/>
    <n v="6"/>
    <n v="828"/>
    <x v="184"/>
    <x v="11"/>
    <n v="4968"/>
  </r>
  <r>
    <s v="ORD0186"/>
    <d v="2026-12-17T00:00:00"/>
    <x v="19"/>
    <x v="3"/>
    <x v="2"/>
    <x v="0"/>
    <n v="1"/>
    <n v="6703"/>
    <x v="185"/>
    <x v="7"/>
    <n v="6703"/>
  </r>
  <r>
    <s v="ORD0187"/>
    <d v="2026-02-20T00:00:00"/>
    <x v="4"/>
    <x v="9"/>
    <x v="4"/>
    <x v="2"/>
    <n v="1"/>
    <n v="247"/>
    <x v="186"/>
    <x v="9"/>
    <n v="247"/>
  </r>
  <r>
    <s v="ORD0188"/>
    <d v="2026-01-15T00:00:00"/>
    <x v="12"/>
    <x v="1"/>
    <x v="1"/>
    <x v="4"/>
    <n v="6"/>
    <n v="17422"/>
    <x v="187"/>
    <x v="4"/>
    <n v="104532"/>
  </r>
  <r>
    <s v="ORD0189"/>
    <d v="2026-08-09T00:00:00"/>
    <x v="15"/>
    <x v="6"/>
    <x v="1"/>
    <x v="0"/>
    <n v="3"/>
    <n v="43981"/>
    <x v="188"/>
    <x v="10"/>
    <n v="131943"/>
  </r>
  <r>
    <s v="ORD0190"/>
    <d v="2026-04-03T00:00:00"/>
    <x v="3"/>
    <x v="7"/>
    <x v="2"/>
    <x v="0"/>
    <n v="4"/>
    <n v="8590"/>
    <x v="189"/>
    <x v="2"/>
    <n v="34360"/>
  </r>
  <r>
    <s v="ORD0191"/>
    <d v="2026-11-14T00:00:00"/>
    <x v="0"/>
    <x v="8"/>
    <x v="1"/>
    <x v="2"/>
    <n v="5"/>
    <n v="23305"/>
    <x v="190"/>
    <x v="3"/>
    <n v="116525"/>
  </r>
  <r>
    <s v="ORD0192"/>
    <d v="2026-11-23T00:00:00"/>
    <x v="8"/>
    <x v="3"/>
    <x v="2"/>
    <x v="2"/>
    <n v="2"/>
    <n v="6700"/>
    <x v="191"/>
    <x v="3"/>
    <n v="13400"/>
  </r>
  <r>
    <s v="ORD0193"/>
    <d v="2026-08-27T00:00:00"/>
    <x v="19"/>
    <x v="10"/>
    <x v="3"/>
    <x v="1"/>
    <n v="6"/>
    <n v="1106"/>
    <x v="192"/>
    <x v="10"/>
    <n v="6636"/>
  </r>
  <r>
    <s v="ORD0194"/>
    <d v="2026-06-26T00:00:00"/>
    <x v="10"/>
    <x v="1"/>
    <x v="1"/>
    <x v="4"/>
    <n v="1"/>
    <n v="17832"/>
    <x v="193"/>
    <x v="5"/>
    <n v="17832"/>
  </r>
  <r>
    <s v="ORD0195"/>
    <d v="2026-08-22T00:00:00"/>
    <x v="19"/>
    <x v="0"/>
    <x v="0"/>
    <x v="0"/>
    <n v="4"/>
    <n v="1855"/>
    <x v="194"/>
    <x v="10"/>
    <n v="7420"/>
  </r>
  <r>
    <s v="ORD0196"/>
    <d v="2026-07-15T00:00:00"/>
    <x v="10"/>
    <x v="2"/>
    <x v="1"/>
    <x v="4"/>
    <n v="4"/>
    <n v="14056"/>
    <x v="195"/>
    <x v="8"/>
    <n v="56224"/>
  </r>
  <r>
    <s v="ORD0197"/>
    <d v="2026-06-01T00:00:00"/>
    <x v="16"/>
    <x v="3"/>
    <x v="2"/>
    <x v="2"/>
    <n v="3"/>
    <n v="7552"/>
    <x v="196"/>
    <x v="5"/>
    <n v="22656"/>
  </r>
  <r>
    <s v="ORD0198"/>
    <d v="2026-12-18T00:00:00"/>
    <x v="12"/>
    <x v="10"/>
    <x v="3"/>
    <x v="1"/>
    <n v="1"/>
    <n v="1213"/>
    <x v="197"/>
    <x v="7"/>
    <n v="1213"/>
  </r>
  <r>
    <s v="ORD0199"/>
    <d v="2026-05-27T00:00:00"/>
    <x v="0"/>
    <x v="9"/>
    <x v="4"/>
    <x v="1"/>
    <n v="4"/>
    <n v="263"/>
    <x v="29"/>
    <x v="0"/>
    <n v="1052"/>
  </r>
  <r>
    <s v="ORD0200"/>
    <d v="2026-11-14T00:00:00"/>
    <x v="8"/>
    <x v="5"/>
    <x v="3"/>
    <x v="0"/>
    <n v="2"/>
    <n v="817"/>
    <x v="198"/>
    <x v="3"/>
    <n v="1634"/>
  </r>
  <r>
    <s v="ORD0201"/>
    <d v="2026-11-27T00:00:00"/>
    <x v="12"/>
    <x v="0"/>
    <x v="0"/>
    <x v="4"/>
    <n v="1"/>
    <n v="1916"/>
    <x v="199"/>
    <x v="3"/>
    <n v="1916"/>
  </r>
  <r>
    <s v="ORD0202"/>
    <d v="2026-03-09T00:00:00"/>
    <x v="1"/>
    <x v="11"/>
    <x v="1"/>
    <x v="4"/>
    <n v="1"/>
    <n v="12153"/>
    <x v="200"/>
    <x v="6"/>
    <n v="12153"/>
  </r>
  <r>
    <s v="ORD0203"/>
    <d v="2026-04-13T00:00:00"/>
    <x v="15"/>
    <x v="5"/>
    <x v="3"/>
    <x v="1"/>
    <n v="6"/>
    <n v="789"/>
    <x v="201"/>
    <x v="2"/>
    <n v="4734"/>
  </r>
  <r>
    <s v="ORD0204"/>
    <d v="2026-05-20T00:00:00"/>
    <x v="3"/>
    <x v="5"/>
    <x v="3"/>
    <x v="4"/>
    <n v="5"/>
    <n v="800"/>
    <x v="202"/>
    <x v="0"/>
    <n v="4000"/>
  </r>
  <r>
    <s v="ORD0205"/>
    <d v="2026-06-23T00:00:00"/>
    <x v="4"/>
    <x v="11"/>
    <x v="1"/>
    <x v="2"/>
    <n v="3"/>
    <n v="12473"/>
    <x v="203"/>
    <x v="5"/>
    <n v="37419"/>
  </r>
  <r>
    <s v="ORD0206"/>
    <d v="2026-04-26T00:00:00"/>
    <x v="6"/>
    <x v="8"/>
    <x v="1"/>
    <x v="1"/>
    <n v="2"/>
    <n v="22895"/>
    <x v="204"/>
    <x v="2"/>
    <n v="45790"/>
  </r>
  <r>
    <s v="ORD0207"/>
    <d v="2026-01-08T00:00:00"/>
    <x v="8"/>
    <x v="5"/>
    <x v="3"/>
    <x v="1"/>
    <n v="1"/>
    <n v="837"/>
    <x v="205"/>
    <x v="4"/>
    <n v="837"/>
  </r>
  <r>
    <s v="ORD0208"/>
    <d v="2026-12-11T00:00:00"/>
    <x v="8"/>
    <x v="8"/>
    <x v="1"/>
    <x v="1"/>
    <n v="4"/>
    <n v="21537"/>
    <x v="206"/>
    <x v="7"/>
    <n v="86148"/>
  </r>
  <r>
    <s v="ORD0209"/>
    <d v="2026-02-25T00:00:00"/>
    <x v="0"/>
    <x v="2"/>
    <x v="1"/>
    <x v="2"/>
    <n v="6"/>
    <n v="16057"/>
    <x v="207"/>
    <x v="9"/>
    <n v="96342"/>
  </r>
  <r>
    <s v="ORD0210"/>
    <d v="2026-10-15T00:00:00"/>
    <x v="18"/>
    <x v="6"/>
    <x v="1"/>
    <x v="1"/>
    <n v="5"/>
    <n v="47766"/>
    <x v="208"/>
    <x v="1"/>
    <n v="238830"/>
  </r>
  <r>
    <s v="ORD0211"/>
    <d v="2026-08-26T00:00:00"/>
    <x v="19"/>
    <x v="4"/>
    <x v="3"/>
    <x v="2"/>
    <n v="6"/>
    <n v="2325"/>
    <x v="209"/>
    <x v="10"/>
    <n v="13950"/>
  </r>
  <r>
    <s v="ORD0212"/>
    <d v="2026-01-20T00:00:00"/>
    <x v="19"/>
    <x v="8"/>
    <x v="1"/>
    <x v="2"/>
    <n v="2"/>
    <n v="20400"/>
    <x v="210"/>
    <x v="4"/>
    <n v="40800"/>
  </r>
  <r>
    <s v="ORD0213"/>
    <d v="2026-10-03T00:00:00"/>
    <x v="15"/>
    <x v="8"/>
    <x v="1"/>
    <x v="2"/>
    <n v="1"/>
    <n v="21066"/>
    <x v="211"/>
    <x v="1"/>
    <n v="21066"/>
  </r>
  <r>
    <s v="ORD0214"/>
    <d v="2026-12-23T00:00:00"/>
    <x v="2"/>
    <x v="11"/>
    <x v="1"/>
    <x v="2"/>
    <n v="3"/>
    <n v="12327"/>
    <x v="212"/>
    <x v="7"/>
    <n v="36981"/>
  </r>
  <r>
    <s v="ORD0215"/>
    <d v="2026-08-01T00:00:00"/>
    <x v="4"/>
    <x v="3"/>
    <x v="2"/>
    <x v="2"/>
    <n v="6"/>
    <n v="7254"/>
    <x v="213"/>
    <x v="10"/>
    <n v="43524"/>
  </r>
  <r>
    <s v="ORD0216"/>
    <d v="2026-05-24T00:00:00"/>
    <x v="12"/>
    <x v="3"/>
    <x v="2"/>
    <x v="4"/>
    <n v="4"/>
    <n v="7492"/>
    <x v="214"/>
    <x v="0"/>
    <n v="29968"/>
  </r>
  <r>
    <s v="ORD0217"/>
    <d v="2026-05-01T00:00:00"/>
    <x v="7"/>
    <x v="4"/>
    <x v="3"/>
    <x v="3"/>
    <n v="4"/>
    <n v="2478"/>
    <x v="215"/>
    <x v="0"/>
    <n v="9912"/>
  </r>
  <r>
    <s v="ORD0218"/>
    <d v="2026-11-27T00:00:00"/>
    <x v="7"/>
    <x v="0"/>
    <x v="0"/>
    <x v="3"/>
    <n v="3"/>
    <n v="1813"/>
    <x v="216"/>
    <x v="3"/>
    <n v="5439"/>
  </r>
  <r>
    <s v="ORD0219"/>
    <d v="2026-03-04T00:00:00"/>
    <x v="11"/>
    <x v="2"/>
    <x v="1"/>
    <x v="3"/>
    <n v="3"/>
    <n v="14256"/>
    <x v="217"/>
    <x v="6"/>
    <n v="42768"/>
  </r>
  <r>
    <s v="ORD0220"/>
    <d v="2026-11-02T00:00:00"/>
    <x v="16"/>
    <x v="0"/>
    <x v="0"/>
    <x v="3"/>
    <n v="2"/>
    <n v="1841"/>
    <x v="218"/>
    <x v="3"/>
    <n v="3682"/>
  </r>
  <r>
    <s v="ORD0221"/>
    <d v="2026-10-17T00:00:00"/>
    <x v="9"/>
    <x v="5"/>
    <x v="3"/>
    <x v="3"/>
    <n v="2"/>
    <n v="863"/>
    <x v="219"/>
    <x v="1"/>
    <n v="1726"/>
  </r>
  <r>
    <s v="ORD0222"/>
    <d v="2026-04-30T00:00:00"/>
    <x v="18"/>
    <x v="7"/>
    <x v="2"/>
    <x v="0"/>
    <n v="2"/>
    <n v="8617"/>
    <x v="220"/>
    <x v="2"/>
    <n v="17234"/>
  </r>
  <r>
    <s v="ORD0223"/>
    <d v="2026-03-16T00:00:00"/>
    <x v="15"/>
    <x v="3"/>
    <x v="2"/>
    <x v="1"/>
    <n v="1"/>
    <n v="6751"/>
    <x v="221"/>
    <x v="6"/>
    <n v="6751"/>
  </r>
  <r>
    <s v="ORD0224"/>
    <d v="2026-01-14T00:00:00"/>
    <x v="15"/>
    <x v="10"/>
    <x v="3"/>
    <x v="3"/>
    <n v="2"/>
    <n v="1125"/>
    <x v="222"/>
    <x v="4"/>
    <n v="2250"/>
  </r>
  <r>
    <s v="ORD0225"/>
    <d v="2026-01-09T00:00:00"/>
    <x v="3"/>
    <x v="5"/>
    <x v="3"/>
    <x v="4"/>
    <n v="2"/>
    <n v="811"/>
    <x v="223"/>
    <x v="4"/>
    <n v="1622"/>
  </r>
  <r>
    <s v="ORD0226"/>
    <d v="2026-09-27T00:00:00"/>
    <x v="4"/>
    <x v="6"/>
    <x v="1"/>
    <x v="3"/>
    <n v="2"/>
    <n v="46740"/>
    <x v="224"/>
    <x v="11"/>
    <n v="93480"/>
  </r>
  <r>
    <s v="ORD0227"/>
    <d v="2026-09-20T00:00:00"/>
    <x v="10"/>
    <x v="11"/>
    <x v="1"/>
    <x v="3"/>
    <n v="4"/>
    <n v="12534"/>
    <x v="225"/>
    <x v="11"/>
    <n v="50136"/>
  </r>
  <r>
    <s v="ORD0228"/>
    <d v="2026-11-11T00:00:00"/>
    <x v="12"/>
    <x v="11"/>
    <x v="1"/>
    <x v="1"/>
    <n v="5"/>
    <n v="11465"/>
    <x v="226"/>
    <x v="3"/>
    <n v="57325"/>
  </r>
  <r>
    <s v="ORD0229"/>
    <d v="2026-01-16T00:00:00"/>
    <x v="12"/>
    <x v="10"/>
    <x v="3"/>
    <x v="2"/>
    <n v="4"/>
    <n v="1228"/>
    <x v="227"/>
    <x v="4"/>
    <n v="4912"/>
  </r>
  <r>
    <s v="ORD0230"/>
    <d v="2026-09-09T00:00:00"/>
    <x v="11"/>
    <x v="2"/>
    <x v="1"/>
    <x v="3"/>
    <n v="4"/>
    <n v="15447"/>
    <x v="228"/>
    <x v="11"/>
    <n v="61788"/>
  </r>
  <r>
    <s v="ORD0231"/>
    <d v="2026-02-03T00:00:00"/>
    <x v="15"/>
    <x v="8"/>
    <x v="1"/>
    <x v="4"/>
    <n v="3"/>
    <n v="22381"/>
    <x v="229"/>
    <x v="9"/>
    <n v="67143"/>
  </r>
  <r>
    <s v="ORD0232"/>
    <d v="2026-12-31T00:00:00"/>
    <x v="18"/>
    <x v="3"/>
    <x v="2"/>
    <x v="2"/>
    <n v="6"/>
    <n v="7096"/>
    <x v="230"/>
    <x v="7"/>
    <n v="42576"/>
  </r>
  <r>
    <s v="ORD0233"/>
    <d v="2026-09-16T00:00:00"/>
    <x v="5"/>
    <x v="3"/>
    <x v="2"/>
    <x v="2"/>
    <n v="5"/>
    <n v="6770"/>
    <x v="231"/>
    <x v="11"/>
    <n v="33850"/>
  </r>
  <r>
    <s v="ORD0234"/>
    <d v="2026-12-02T00:00:00"/>
    <x v="2"/>
    <x v="8"/>
    <x v="1"/>
    <x v="0"/>
    <n v="6"/>
    <n v="20643"/>
    <x v="232"/>
    <x v="7"/>
    <n v="123858"/>
  </r>
  <r>
    <s v="ORD0235"/>
    <d v="2026-07-31T00:00:00"/>
    <x v="18"/>
    <x v="2"/>
    <x v="1"/>
    <x v="2"/>
    <n v="4"/>
    <n v="15931"/>
    <x v="233"/>
    <x v="8"/>
    <n v="63724"/>
  </r>
  <r>
    <s v="ORD0236"/>
    <d v="2026-06-10T00:00:00"/>
    <x v="13"/>
    <x v="2"/>
    <x v="1"/>
    <x v="4"/>
    <n v="4"/>
    <n v="15551"/>
    <x v="234"/>
    <x v="5"/>
    <n v="62204"/>
  </r>
  <r>
    <s v="ORD0237"/>
    <d v="2026-03-20T00:00:00"/>
    <x v="17"/>
    <x v="0"/>
    <x v="0"/>
    <x v="3"/>
    <n v="3"/>
    <n v="1764"/>
    <x v="235"/>
    <x v="6"/>
    <n v="5292"/>
  </r>
  <r>
    <s v="ORD0238"/>
    <d v="2026-02-19T00:00:00"/>
    <x v="7"/>
    <x v="8"/>
    <x v="1"/>
    <x v="0"/>
    <n v="1"/>
    <n v="20568"/>
    <x v="236"/>
    <x v="9"/>
    <n v="20568"/>
  </r>
  <r>
    <s v="ORD0239"/>
    <d v="2026-10-15T00:00:00"/>
    <x v="2"/>
    <x v="7"/>
    <x v="2"/>
    <x v="4"/>
    <n v="1"/>
    <n v="8618"/>
    <x v="237"/>
    <x v="1"/>
    <n v="8618"/>
  </r>
  <r>
    <s v="ORD0240"/>
    <d v="2026-12-07T00:00:00"/>
    <x v="13"/>
    <x v="0"/>
    <x v="0"/>
    <x v="3"/>
    <n v="1"/>
    <n v="1774"/>
    <x v="238"/>
    <x v="7"/>
    <n v="1774"/>
  </r>
  <r>
    <s v="ORD0241"/>
    <d v="2026-02-23T00:00:00"/>
    <x v="10"/>
    <x v="10"/>
    <x v="3"/>
    <x v="1"/>
    <n v="5"/>
    <n v="1164"/>
    <x v="239"/>
    <x v="9"/>
    <n v="5820"/>
  </r>
  <r>
    <s v="ORD0242"/>
    <d v="2026-04-25T00:00:00"/>
    <x v="4"/>
    <x v="4"/>
    <x v="3"/>
    <x v="4"/>
    <n v="2"/>
    <n v="2563"/>
    <x v="240"/>
    <x v="2"/>
    <n v="5126"/>
  </r>
  <r>
    <s v="ORD0243"/>
    <d v="2026-05-23T00:00:00"/>
    <x v="10"/>
    <x v="7"/>
    <x v="2"/>
    <x v="0"/>
    <n v="3"/>
    <n v="7976"/>
    <x v="241"/>
    <x v="0"/>
    <n v="23928"/>
  </r>
  <r>
    <s v="ORD0244"/>
    <d v="2026-11-15T00:00:00"/>
    <x v="5"/>
    <x v="2"/>
    <x v="1"/>
    <x v="1"/>
    <n v="5"/>
    <n v="16139"/>
    <x v="242"/>
    <x v="3"/>
    <n v="80695"/>
  </r>
  <r>
    <s v="ORD0245"/>
    <d v="2026-12-22T00:00:00"/>
    <x v="8"/>
    <x v="6"/>
    <x v="1"/>
    <x v="3"/>
    <n v="5"/>
    <n v="48089"/>
    <x v="243"/>
    <x v="7"/>
    <n v="240445"/>
  </r>
  <r>
    <s v="ORD0246"/>
    <d v="2026-06-08T00:00:00"/>
    <x v="18"/>
    <x v="1"/>
    <x v="1"/>
    <x v="4"/>
    <n v="3"/>
    <n v="18584"/>
    <x v="244"/>
    <x v="5"/>
    <n v="55752"/>
  </r>
  <r>
    <s v="ORD0247"/>
    <d v="2026-10-17T00:00:00"/>
    <x v="6"/>
    <x v="6"/>
    <x v="1"/>
    <x v="3"/>
    <n v="2"/>
    <n v="47663"/>
    <x v="245"/>
    <x v="1"/>
    <n v="95326"/>
  </r>
  <r>
    <s v="ORD0248"/>
    <d v="2026-01-16T00:00:00"/>
    <x v="1"/>
    <x v="1"/>
    <x v="1"/>
    <x v="1"/>
    <n v="6"/>
    <n v="18384"/>
    <x v="246"/>
    <x v="4"/>
    <n v="110304"/>
  </r>
  <r>
    <s v="ORD0249"/>
    <d v="2026-06-24T00:00:00"/>
    <x v="3"/>
    <x v="4"/>
    <x v="3"/>
    <x v="4"/>
    <n v="4"/>
    <n v="2468"/>
    <x v="247"/>
    <x v="5"/>
    <n v="9872"/>
  </r>
  <r>
    <s v="ORD0250"/>
    <d v="2026-10-18T00:00:00"/>
    <x v="5"/>
    <x v="10"/>
    <x v="3"/>
    <x v="3"/>
    <n v="6"/>
    <n v="1166"/>
    <x v="248"/>
    <x v="1"/>
    <n v="6996"/>
  </r>
  <r>
    <s v="ORD0251"/>
    <d v="2026-11-13T00:00:00"/>
    <x v="12"/>
    <x v="6"/>
    <x v="1"/>
    <x v="3"/>
    <n v="2"/>
    <n v="42533"/>
    <x v="249"/>
    <x v="3"/>
    <n v="85066"/>
  </r>
  <r>
    <s v="ORD0252"/>
    <d v="2026-09-06T00:00:00"/>
    <x v="5"/>
    <x v="10"/>
    <x v="3"/>
    <x v="2"/>
    <n v="4"/>
    <n v="1231"/>
    <x v="250"/>
    <x v="11"/>
    <n v="4924"/>
  </r>
  <r>
    <s v="ORD0253"/>
    <d v="2026-09-20T00:00:00"/>
    <x v="4"/>
    <x v="2"/>
    <x v="1"/>
    <x v="4"/>
    <n v="3"/>
    <n v="14317"/>
    <x v="251"/>
    <x v="11"/>
    <n v="42951"/>
  </r>
  <r>
    <s v="ORD0254"/>
    <d v="2026-12-14T00:00:00"/>
    <x v="10"/>
    <x v="2"/>
    <x v="1"/>
    <x v="2"/>
    <n v="1"/>
    <n v="14480"/>
    <x v="252"/>
    <x v="7"/>
    <n v="14480"/>
  </r>
  <r>
    <s v="ORD0255"/>
    <d v="2026-04-23T00:00:00"/>
    <x v="6"/>
    <x v="7"/>
    <x v="2"/>
    <x v="1"/>
    <n v="6"/>
    <n v="8239"/>
    <x v="253"/>
    <x v="2"/>
    <n v="49434"/>
  </r>
  <r>
    <s v="ORD0256"/>
    <d v="2026-04-19T00:00:00"/>
    <x v="15"/>
    <x v="6"/>
    <x v="1"/>
    <x v="4"/>
    <n v="1"/>
    <n v="42872"/>
    <x v="254"/>
    <x v="2"/>
    <n v="42872"/>
  </r>
  <r>
    <s v="ORD0257"/>
    <d v="2026-09-12T00:00:00"/>
    <x v="13"/>
    <x v="10"/>
    <x v="3"/>
    <x v="0"/>
    <n v="3"/>
    <n v="1127"/>
    <x v="255"/>
    <x v="11"/>
    <n v="3381"/>
  </r>
  <r>
    <s v="ORD0258"/>
    <d v="2026-04-28T00:00:00"/>
    <x v="14"/>
    <x v="1"/>
    <x v="1"/>
    <x v="1"/>
    <n v="4"/>
    <n v="18094"/>
    <x v="256"/>
    <x v="2"/>
    <n v="72376"/>
  </r>
  <r>
    <s v="ORD0259"/>
    <d v="2026-01-22T00:00:00"/>
    <x v="13"/>
    <x v="0"/>
    <x v="0"/>
    <x v="3"/>
    <n v="3"/>
    <n v="1677"/>
    <x v="257"/>
    <x v="4"/>
    <n v="5031"/>
  </r>
  <r>
    <s v="ORD0260"/>
    <d v="2026-10-22T00:00:00"/>
    <x v="13"/>
    <x v="11"/>
    <x v="1"/>
    <x v="1"/>
    <n v="1"/>
    <n v="12695"/>
    <x v="258"/>
    <x v="1"/>
    <n v="12695"/>
  </r>
  <r>
    <s v="ORD0261"/>
    <d v="2026-05-29T00:00:00"/>
    <x v="4"/>
    <x v="2"/>
    <x v="1"/>
    <x v="2"/>
    <n v="6"/>
    <n v="15336"/>
    <x v="259"/>
    <x v="0"/>
    <n v="92016"/>
  </r>
  <r>
    <s v="ORD0262"/>
    <d v="2026-11-13T00:00:00"/>
    <x v="11"/>
    <x v="6"/>
    <x v="1"/>
    <x v="4"/>
    <n v="3"/>
    <n v="42637"/>
    <x v="260"/>
    <x v="3"/>
    <n v="127911"/>
  </r>
  <r>
    <s v="ORD0263"/>
    <d v="2026-05-05T00:00:00"/>
    <x v="13"/>
    <x v="8"/>
    <x v="1"/>
    <x v="1"/>
    <n v="4"/>
    <n v="23213"/>
    <x v="261"/>
    <x v="0"/>
    <n v="92852"/>
  </r>
  <r>
    <s v="ORD0264"/>
    <d v="2026-06-08T00:00:00"/>
    <x v="18"/>
    <x v="2"/>
    <x v="1"/>
    <x v="0"/>
    <n v="5"/>
    <n v="13989"/>
    <x v="262"/>
    <x v="5"/>
    <n v="69945"/>
  </r>
  <r>
    <s v="ORD0265"/>
    <d v="2026-11-21T00:00:00"/>
    <x v="4"/>
    <x v="5"/>
    <x v="3"/>
    <x v="1"/>
    <n v="2"/>
    <n v="746"/>
    <x v="263"/>
    <x v="3"/>
    <n v="1492"/>
  </r>
  <r>
    <s v="ORD0266"/>
    <d v="2026-06-28T00:00:00"/>
    <x v="7"/>
    <x v="7"/>
    <x v="2"/>
    <x v="0"/>
    <n v="2"/>
    <n v="9052"/>
    <x v="264"/>
    <x v="5"/>
    <n v="18104"/>
  </r>
  <r>
    <s v="ORD0267"/>
    <d v="2026-04-12T00:00:00"/>
    <x v="3"/>
    <x v="4"/>
    <x v="3"/>
    <x v="1"/>
    <n v="1"/>
    <n v="2359"/>
    <x v="265"/>
    <x v="2"/>
    <n v="2359"/>
  </r>
  <r>
    <s v="ORD0268"/>
    <d v="2026-11-18T00:00:00"/>
    <x v="17"/>
    <x v="1"/>
    <x v="1"/>
    <x v="2"/>
    <n v="6"/>
    <n v="16777"/>
    <x v="266"/>
    <x v="3"/>
    <n v="100662"/>
  </r>
  <r>
    <s v="ORD0269"/>
    <d v="2026-10-17T00:00:00"/>
    <x v="5"/>
    <x v="3"/>
    <x v="2"/>
    <x v="4"/>
    <n v="5"/>
    <n v="6943"/>
    <x v="267"/>
    <x v="1"/>
    <n v="34715"/>
  </r>
  <r>
    <s v="ORD0270"/>
    <d v="2026-02-04T00:00:00"/>
    <x v="17"/>
    <x v="0"/>
    <x v="0"/>
    <x v="2"/>
    <n v="3"/>
    <n v="1699"/>
    <x v="268"/>
    <x v="9"/>
    <n v="5097"/>
  </r>
  <r>
    <s v="ORD0271"/>
    <d v="2026-10-30T00:00:00"/>
    <x v="12"/>
    <x v="0"/>
    <x v="0"/>
    <x v="4"/>
    <n v="3"/>
    <n v="1885"/>
    <x v="269"/>
    <x v="1"/>
    <n v="5655"/>
  </r>
  <r>
    <s v="ORD0272"/>
    <d v="2026-08-20T00:00:00"/>
    <x v="12"/>
    <x v="7"/>
    <x v="2"/>
    <x v="3"/>
    <n v="1"/>
    <n v="8242"/>
    <x v="270"/>
    <x v="10"/>
    <n v="8242"/>
  </r>
  <r>
    <s v="ORD0273"/>
    <d v="2026-02-16T00:00:00"/>
    <x v="5"/>
    <x v="5"/>
    <x v="3"/>
    <x v="1"/>
    <n v="3"/>
    <n v="746"/>
    <x v="271"/>
    <x v="9"/>
    <n v="2238"/>
  </r>
  <r>
    <s v="ORD0274"/>
    <d v="2026-10-11T00:00:00"/>
    <x v="12"/>
    <x v="7"/>
    <x v="2"/>
    <x v="2"/>
    <n v="4"/>
    <n v="8449"/>
    <x v="272"/>
    <x v="1"/>
    <n v="33796"/>
  </r>
  <r>
    <s v="ORD0275"/>
    <d v="2026-11-06T00:00:00"/>
    <x v="17"/>
    <x v="3"/>
    <x v="2"/>
    <x v="1"/>
    <n v="6"/>
    <n v="6651"/>
    <x v="273"/>
    <x v="3"/>
    <n v="39906"/>
  </r>
  <r>
    <s v="ORD0276"/>
    <d v="2026-06-25T00:00:00"/>
    <x v="1"/>
    <x v="1"/>
    <x v="1"/>
    <x v="1"/>
    <n v="1"/>
    <n v="17858"/>
    <x v="274"/>
    <x v="5"/>
    <n v="17858"/>
  </r>
  <r>
    <s v="ORD0277"/>
    <d v="2026-12-29T00:00:00"/>
    <x v="11"/>
    <x v="0"/>
    <x v="0"/>
    <x v="2"/>
    <n v="2"/>
    <n v="1667"/>
    <x v="275"/>
    <x v="7"/>
    <n v="3334"/>
  </r>
  <r>
    <s v="ORD0278"/>
    <d v="2026-07-06T00:00:00"/>
    <x v="7"/>
    <x v="7"/>
    <x v="2"/>
    <x v="4"/>
    <n v="5"/>
    <n v="8649"/>
    <x v="276"/>
    <x v="8"/>
    <n v="43245"/>
  </r>
  <r>
    <s v="ORD0279"/>
    <d v="2026-12-14T00:00:00"/>
    <x v="5"/>
    <x v="2"/>
    <x v="1"/>
    <x v="3"/>
    <n v="4"/>
    <n v="15659"/>
    <x v="277"/>
    <x v="7"/>
    <n v="62636"/>
  </r>
  <r>
    <s v="ORD0280"/>
    <d v="2026-06-18T00:00:00"/>
    <x v="4"/>
    <x v="0"/>
    <x v="0"/>
    <x v="1"/>
    <n v="6"/>
    <n v="1752"/>
    <x v="278"/>
    <x v="5"/>
    <n v="10512"/>
  </r>
  <r>
    <s v="ORD0281"/>
    <d v="2026-12-03T00:00:00"/>
    <x v="5"/>
    <x v="0"/>
    <x v="0"/>
    <x v="0"/>
    <n v="4"/>
    <n v="1738"/>
    <x v="279"/>
    <x v="7"/>
    <n v="6952"/>
  </r>
  <r>
    <s v="ORD0282"/>
    <d v="2026-03-14T00:00:00"/>
    <x v="7"/>
    <x v="5"/>
    <x v="3"/>
    <x v="4"/>
    <n v="1"/>
    <n v="811"/>
    <x v="280"/>
    <x v="6"/>
    <n v="811"/>
  </r>
  <r>
    <s v="ORD0283"/>
    <d v="2026-03-08T00:00:00"/>
    <x v="5"/>
    <x v="0"/>
    <x v="0"/>
    <x v="3"/>
    <n v="6"/>
    <n v="1847"/>
    <x v="281"/>
    <x v="6"/>
    <n v="11082"/>
  </r>
  <r>
    <s v="ORD0284"/>
    <d v="2026-06-18T00:00:00"/>
    <x v="15"/>
    <x v="10"/>
    <x v="3"/>
    <x v="1"/>
    <n v="5"/>
    <n v="1176"/>
    <x v="282"/>
    <x v="5"/>
    <n v="5880"/>
  </r>
  <r>
    <s v="ORD0285"/>
    <d v="2026-09-18T00:00:00"/>
    <x v="7"/>
    <x v="8"/>
    <x v="1"/>
    <x v="3"/>
    <n v="6"/>
    <n v="22600"/>
    <x v="283"/>
    <x v="11"/>
    <n v="135600"/>
  </r>
  <r>
    <s v="ORD0286"/>
    <d v="2026-04-20T00:00:00"/>
    <x v="18"/>
    <x v="5"/>
    <x v="3"/>
    <x v="2"/>
    <n v="3"/>
    <n v="759"/>
    <x v="284"/>
    <x v="2"/>
    <n v="2277"/>
  </r>
  <r>
    <s v="ORD0287"/>
    <d v="2026-03-21T00:00:00"/>
    <x v="1"/>
    <x v="4"/>
    <x v="3"/>
    <x v="4"/>
    <n v="2"/>
    <n v="2700"/>
    <x v="285"/>
    <x v="6"/>
    <n v="5400"/>
  </r>
  <r>
    <s v="ORD0288"/>
    <d v="2026-09-27T00:00:00"/>
    <x v="12"/>
    <x v="8"/>
    <x v="1"/>
    <x v="4"/>
    <n v="5"/>
    <n v="22953"/>
    <x v="286"/>
    <x v="11"/>
    <n v="114765"/>
  </r>
  <r>
    <s v="ORD0289"/>
    <d v="2026-03-20T00:00:00"/>
    <x v="3"/>
    <x v="3"/>
    <x v="2"/>
    <x v="0"/>
    <n v="2"/>
    <n v="7109"/>
    <x v="287"/>
    <x v="6"/>
    <n v="14218"/>
  </r>
  <r>
    <s v="ORD0290"/>
    <d v="2026-03-26T00:00:00"/>
    <x v="11"/>
    <x v="9"/>
    <x v="4"/>
    <x v="3"/>
    <n v="5"/>
    <n v="262"/>
    <x v="288"/>
    <x v="6"/>
    <n v="1310"/>
  </r>
  <r>
    <s v="ORD0291"/>
    <d v="2026-05-02T00:00:00"/>
    <x v="11"/>
    <x v="2"/>
    <x v="1"/>
    <x v="1"/>
    <n v="3"/>
    <n v="15423"/>
    <x v="289"/>
    <x v="0"/>
    <n v="46269"/>
  </r>
  <r>
    <s v="ORD0292"/>
    <d v="2026-04-30T00:00:00"/>
    <x v="2"/>
    <x v="10"/>
    <x v="3"/>
    <x v="0"/>
    <n v="6"/>
    <n v="1254"/>
    <x v="290"/>
    <x v="2"/>
    <n v="7524"/>
  </r>
  <r>
    <s v="ORD0293"/>
    <d v="2026-04-10T00:00:00"/>
    <x v="7"/>
    <x v="10"/>
    <x v="3"/>
    <x v="1"/>
    <n v="4"/>
    <n v="1278"/>
    <x v="291"/>
    <x v="2"/>
    <n v="5112"/>
  </r>
  <r>
    <s v="ORD0294"/>
    <d v="2026-07-15T00:00:00"/>
    <x v="14"/>
    <x v="11"/>
    <x v="1"/>
    <x v="1"/>
    <n v="4"/>
    <n v="12517"/>
    <x v="292"/>
    <x v="8"/>
    <n v="50068"/>
  </r>
  <r>
    <s v="ORD0295"/>
    <d v="2026-11-06T00:00:00"/>
    <x v="15"/>
    <x v="2"/>
    <x v="1"/>
    <x v="4"/>
    <n v="2"/>
    <n v="15761"/>
    <x v="293"/>
    <x v="3"/>
    <n v="31522"/>
  </r>
  <r>
    <s v="ORD0296"/>
    <d v="2026-07-10T00:00:00"/>
    <x v="2"/>
    <x v="6"/>
    <x v="1"/>
    <x v="3"/>
    <n v="6"/>
    <n v="44860"/>
    <x v="294"/>
    <x v="8"/>
    <n v="269160"/>
  </r>
  <r>
    <s v="ORD0297"/>
    <d v="2026-05-26T00:00:00"/>
    <x v="1"/>
    <x v="9"/>
    <x v="4"/>
    <x v="0"/>
    <n v="5"/>
    <n v="264"/>
    <x v="295"/>
    <x v="0"/>
    <n v="1320"/>
  </r>
  <r>
    <s v="ORD0298"/>
    <d v="2026-03-17T00:00:00"/>
    <x v="13"/>
    <x v="10"/>
    <x v="3"/>
    <x v="3"/>
    <n v="4"/>
    <n v="1278"/>
    <x v="291"/>
    <x v="6"/>
    <n v="5112"/>
  </r>
  <r>
    <s v="ORD0299"/>
    <d v="2026-01-14T00:00:00"/>
    <x v="13"/>
    <x v="4"/>
    <x v="3"/>
    <x v="3"/>
    <n v="4"/>
    <n v="2654"/>
    <x v="296"/>
    <x v="4"/>
    <n v="10616"/>
  </r>
  <r>
    <s v="ORD0300"/>
    <d v="2026-07-17T00:00:00"/>
    <x v="1"/>
    <x v="2"/>
    <x v="1"/>
    <x v="4"/>
    <n v="5"/>
    <n v="14698"/>
    <x v="297"/>
    <x v="8"/>
    <n v="73490"/>
  </r>
  <r>
    <s v="ORD0301"/>
    <d v="2026-02-20T00:00:00"/>
    <x v="18"/>
    <x v="4"/>
    <x v="3"/>
    <x v="0"/>
    <n v="1"/>
    <n v="2427"/>
    <x v="298"/>
    <x v="9"/>
    <n v="2427"/>
  </r>
  <r>
    <s v="ORD0302"/>
    <d v="2026-08-30T00:00:00"/>
    <x v="15"/>
    <x v="1"/>
    <x v="1"/>
    <x v="2"/>
    <n v="1"/>
    <n v="17386"/>
    <x v="299"/>
    <x v="10"/>
    <n v="17386"/>
  </r>
  <r>
    <s v="ORD0303"/>
    <d v="2026-02-10T00:00:00"/>
    <x v="16"/>
    <x v="11"/>
    <x v="1"/>
    <x v="4"/>
    <n v="5"/>
    <n v="11050"/>
    <x v="300"/>
    <x v="9"/>
    <n v="55250"/>
  </r>
  <r>
    <s v="ORD0304"/>
    <d v="2026-11-08T00:00:00"/>
    <x v="14"/>
    <x v="4"/>
    <x v="3"/>
    <x v="2"/>
    <n v="2"/>
    <n v="2520"/>
    <x v="301"/>
    <x v="3"/>
    <n v="5040"/>
  </r>
  <r>
    <s v="ORD0305"/>
    <d v="2026-03-04T00:00:00"/>
    <x v="12"/>
    <x v="8"/>
    <x v="1"/>
    <x v="0"/>
    <n v="3"/>
    <n v="21076"/>
    <x v="302"/>
    <x v="6"/>
    <n v="63228"/>
  </r>
  <r>
    <s v="ORD0306"/>
    <d v="2026-08-23T00:00:00"/>
    <x v="1"/>
    <x v="2"/>
    <x v="1"/>
    <x v="3"/>
    <n v="6"/>
    <n v="15705"/>
    <x v="303"/>
    <x v="10"/>
    <n v="94230"/>
  </r>
  <r>
    <s v="ORD0307"/>
    <d v="2026-11-20T00:00:00"/>
    <x v="14"/>
    <x v="11"/>
    <x v="1"/>
    <x v="1"/>
    <n v="5"/>
    <n v="12069"/>
    <x v="304"/>
    <x v="3"/>
    <n v="60345"/>
  </r>
  <r>
    <s v="ORD0308"/>
    <d v="2026-08-08T00:00:00"/>
    <x v="16"/>
    <x v="4"/>
    <x v="3"/>
    <x v="1"/>
    <n v="6"/>
    <n v="2357"/>
    <x v="305"/>
    <x v="10"/>
    <n v="14142"/>
  </r>
  <r>
    <s v="ORD0309"/>
    <d v="2026-04-06T00:00:00"/>
    <x v="1"/>
    <x v="5"/>
    <x v="3"/>
    <x v="1"/>
    <n v="2"/>
    <n v="809"/>
    <x v="306"/>
    <x v="2"/>
    <n v="1618"/>
  </r>
  <r>
    <s v="ORD0310"/>
    <d v="2026-10-06T00:00:00"/>
    <x v="14"/>
    <x v="5"/>
    <x v="3"/>
    <x v="1"/>
    <n v="1"/>
    <n v="858"/>
    <x v="307"/>
    <x v="1"/>
    <n v="858"/>
  </r>
  <r>
    <s v="ORD0311"/>
    <d v="2026-08-29T00:00:00"/>
    <x v="12"/>
    <x v="7"/>
    <x v="2"/>
    <x v="2"/>
    <n v="1"/>
    <n v="8351"/>
    <x v="308"/>
    <x v="10"/>
    <n v="8351"/>
  </r>
  <r>
    <s v="ORD0312"/>
    <d v="2026-07-02T00:00:00"/>
    <x v="1"/>
    <x v="5"/>
    <x v="3"/>
    <x v="4"/>
    <n v="3"/>
    <n v="832"/>
    <x v="309"/>
    <x v="8"/>
    <n v="2496"/>
  </r>
  <r>
    <s v="ORD0313"/>
    <d v="2026-02-23T00:00:00"/>
    <x v="10"/>
    <x v="4"/>
    <x v="3"/>
    <x v="4"/>
    <n v="6"/>
    <n v="2563"/>
    <x v="310"/>
    <x v="9"/>
    <n v="15378"/>
  </r>
  <r>
    <s v="ORD0314"/>
    <d v="2026-06-23T00:00:00"/>
    <x v="3"/>
    <x v="1"/>
    <x v="1"/>
    <x v="2"/>
    <n v="1"/>
    <n v="17575"/>
    <x v="311"/>
    <x v="5"/>
    <n v="17575"/>
  </r>
  <r>
    <s v="ORD0315"/>
    <d v="2026-03-11T00:00:00"/>
    <x v="1"/>
    <x v="9"/>
    <x v="4"/>
    <x v="2"/>
    <n v="4"/>
    <n v="255"/>
    <x v="312"/>
    <x v="6"/>
    <n v="1020"/>
  </r>
  <r>
    <s v="ORD0316"/>
    <d v="2026-04-13T00:00:00"/>
    <x v="12"/>
    <x v="6"/>
    <x v="1"/>
    <x v="4"/>
    <n v="3"/>
    <n v="42851"/>
    <x v="313"/>
    <x v="2"/>
    <n v="128553"/>
  </r>
  <r>
    <s v="ORD0317"/>
    <d v="2026-10-06T00:00:00"/>
    <x v="17"/>
    <x v="10"/>
    <x v="3"/>
    <x v="4"/>
    <n v="5"/>
    <n v="1180"/>
    <x v="314"/>
    <x v="1"/>
    <n v="5900"/>
  </r>
  <r>
    <s v="ORD0318"/>
    <d v="2026-07-02T00:00:00"/>
    <x v="12"/>
    <x v="6"/>
    <x v="1"/>
    <x v="4"/>
    <n v="6"/>
    <n v="42776"/>
    <x v="315"/>
    <x v="8"/>
    <n v="256656"/>
  </r>
  <r>
    <s v="ORD0319"/>
    <d v="2026-08-12T00:00:00"/>
    <x v="6"/>
    <x v="10"/>
    <x v="3"/>
    <x v="2"/>
    <n v="1"/>
    <n v="1257"/>
    <x v="316"/>
    <x v="10"/>
    <n v="1257"/>
  </r>
  <r>
    <s v="ORD0320"/>
    <d v="2026-09-12T00:00:00"/>
    <x v="17"/>
    <x v="2"/>
    <x v="1"/>
    <x v="4"/>
    <n v="3"/>
    <n v="16137"/>
    <x v="317"/>
    <x v="11"/>
    <n v="48411"/>
  </r>
  <r>
    <s v="ORD0321"/>
    <d v="2026-08-06T00:00:00"/>
    <x v="1"/>
    <x v="7"/>
    <x v="2"/>
    <x v="2"/>
    <n v="3"/>
    <n v="8910"/>
    <x v="318"/>
    <x v="10"/>
    <n v="26730"/>
  </r>
  <r>
    <s v="ORD0322"/>
    <d v="2026-06-14T00:00:00"/>
    <x v="4"/>
    <x v="3"/>
    <x v="2"/>
    <x v="3"/>
    <n v="2"/>
    <n v="7051"/>
    <x v="319"/>
    <x v="5"/>
    <n v="14102"/>
  </r>
  <r>
    <s v="ORD0323"/>
    <d v="2026-08-17T00:00:00"/>
    <x v="5"/>
    <x v="5"/>
    <x v="3"/>
    <x v="2"/>
    <n v="6"/>
    <n v="774"/>
    <x v="320"/>
    <x v="10"/>
    <n v="4644"/>
  </r>
  <r>
    <s v="ORD0324"/>
    <d v="2026-08-17T00:00:00"/>
    <x v="12"/>
    <x v="1"/>
    <x v="1"/>
    <x v="4"/>
    <n v="6"/>
    <n v="17838"/>
    <x v="321"/>
    <x v="10"/>
    <n v="107028"/>
  </r>
  <r>
    <s v="ORD0325"/>
    <d v="2026-01-30T00:00:00"/>
    <x v="1"/>
    <x v="3"/>
    <x v="2"/>
    <x v="2"/>
    <n v="4"/>
    <n v="6748"/>
    <x v="322"/>
    <x v="4"/>
    <n v="26992"/>
  </r>
  <r>
    <s v="ORD0326"/>
    <d v="2026-12-14T00:00:00"/>
    <x v="3"/>
    <x v="5"/>
    <x v="3"/>
    <x v="3"/>
    <n v="5"/>
    <n v="839"/>
    <x v="323"/>
    <x v="7"/>
    <n v="4195"/>
  </r>
  <r>
    <s v="ORD0327"/>
    <d v="2026-08-13T00:00:00"/>
    <x v="12"/>
    <x v="1"/>
    <x v="1"/>
    <x v="0"/>
    <n v="5"/>
    <n v="18513"/>
    <x v="324"/>
    <x v="10"/>
    <n v="92565"/>
  </r>
  <r>
    <s v="ORD0328"/>
    <d v="2026-07-07T00:00:00"/>
    <x v="7"/>
    <x v="8"/>
    <x v="1"/>
    <x v="2"/>
    <n v="2"/>
    <n v="22980"/>
    <x v="325"/>
    <x v="8"/>
    <n v="45960"/>
  </r>
  <r>
    <s v="ORD0329"/>
    <d v="2026-12-14T00:00:00"/>
    <x v="11"/>
    <x v="3"/>
    <x v="2"/>
    <x v="4"/>
    <n v="1"/>
    <n v="7118"/>
    <x v="326"/>
    <x v="7"/>
    <n v="7118"/>
  </r>
  <r>
    <s v="ORD0330"/>
    <d v="2026-10-21T00:00:00"/>
    <x v="15"/>
    <x v="5"/>
    <x v="3"/>
    <x v="1"/>
    <n v="4"/>
    <n v="834"/>
    <x v="327"/>
    <x v="1"/>
    <n v="3336"/>
  </r>
  <r>
    <s v="ORD0331"/>
    <d v="2026-05-23T00:00:00"/>
    <x v="0"/>
    <x v="5"/>
    <x v="3"/>
    <x v="3"/>
    <n v="4"/>
    <n v="776"/>
    <x v="328"/>
    <x v="0"/>
    <n v="3104"/>
  </r>
  <r>
    <s v="ORD0332"/>
    <d v="2026-09-23T00:00:00"/>
    <x v="6"/>
    <x v="6"/>
    <x v="1"/>
    <x v="1"/>
    <n v="6"/>
    <n v="42740"/>
    <x v="329"/>
    <x v="11"/>
    <n v="256440"/>
  </r>
  <r>
    <s v="ORD0333"/>
    <d v="2026-12-27T00:00:00"/>
    <x v="11"/>
    <x v="8"/>
    <x v="1"/>
    <x v="0"/>
    <n v="3"/>
    <n v="22968"/>
    <x v="330"/>
    <x v="7"/>
    <n v="68904"/>
  </r>
  <r>
    <s v="ORD0334"/>
    <d v="2026-09-09T00:00:00"/>
    <x v="9"/>
    <x v="3"/>
    <x v="2"/>
    <x v="3"/>
    <n v="3"/>
    <n v="7217"/>
    <x v="331"/>
    <x v="11"/>
    <n v="21651"/>
  </r>
  <r>
    <s v="ORD0335"/>
    <d v="2026-08-16T00:00:00"/>
    <x v="1"/>
    <x v="1"/>
    <x v="1"/>
    <x v="4"/>
    <n v="1"/>
    <n v="17862"/>
    <x v="332"/>
    <x v="10"/>
    <n v="17862"/>
  </r>
  <r>
    <s v="ORD0336"/>
    <d v="2026-10-09T00:00:00"/>
    <x v="2"/>
    <x v="0"/>
    <x v="0"/>
    <x v="4"/>
    <n v="3"/>
    <n v="1860"/>
    <x v="333"/>
    <x v="1"/>
    <n v="5580"/>
  </r>
  <r>
    <s v="ORD0337"/>
    <d v="2026-12-25T00:00:00"/>
    <x v="3"/>
    <x v="10"/>
    <x v="3"/>
    <x v="4"/>
    <n v="2"/>
    <n v="1241"/>
    <x v="334"/>
    <x v="7"/>
    <n v="2482"/>
  </r>
  <r>
    <s v="ORD0338"/>
    <d v="2026-04-13T00:00:00"/>
    <x v="15"/>
    <x v="7"/>
    <x v="2"/>
    <x v="0"/>
    <n v="2"/>
    <n v="7985"/>
    <x v="335"/>
    <x v="2"/>
    <n v="15970"/>
  </r>
  <r>
    <s v="ORD0339"/>
    <d v="2026-10-21T00:00:00"/>
    <x v="7"/>
    <x v="11"/>
    <x v="1"/>
    <x v="2"/>
    <n v="1"/>
    <n v="11733"/>
    <x v="336"/>
    <x v="1"/>
    <n v="11733"/>
  </r>
  <r>
    <s v="ORD0340"/>
    <d v="2026-02-14T00:00:00"/>
    <x v="1"/>
    <x v="7"/>
    <x v="2"/>
    <x v="4"/>
    <n v="2"/>
    <n v="8652"/>
    <x v="337"/>
    <x v="9"/>
    <n v="17304"/>
  </r>
  <r>
    <s v="ORD0341"/>
    <d v="2026-09-27T00:00:00"/>
    <x v="13"/>
    <x v="2"/>
    <x v="1"/>
    <x v="2"/>
    <n v="6"/>
    <n v="15525"/>
    <x v="338"/>
    <x v="11"/>
    <n v="93150"/>
  </r>
  <r>
    <s v="ORD0342"/>
    <d v="2026-06-12T00:00:00"/>
    <x v="1"/>
    <x v="3"/>
    <x v="2"/>
    <x v="2"/>
    <n v="1"/>
    <n v="6580"/>
    <x v="339"/>
    <x v="5"/>
    <n v="6580"/>
  </r>
  <r>
    <s v="ORD0343"/>
    <d v="2026-03-07T00:00:00"/>
    <x v="2"/>
    <x v="11"/>
    <x v="1"/>
    <x v="1"/>
    <n v="6"/>
    <n v="12033"/>
    <x v="340"/>
    <x v="6"/>
    <n v="72198"/>
  </r>
  <r>
    <s v="ORD0344"/>
    <d v="2026-01-29T00:00:00"/>
    <x v="4"/>
    <x v="1"/>
    <x v="1"/>
    <x v="1"/>
    <n v="2"/>
    <n v="17806"/>
    <x v="341"/>
    <x v="4"/>
    <n v="35612"/>
  </r>
  <r>
    <s v="ORD0345"/>
    <d v="2026-06-15T00:00:00"/>
    <x v="0"/>
    <x v="1"/>
    <x v="1"/>
    <x v="4"/>
    <n v="3"/>
    <n v="17034"/>
    <x v="342"/>
    <x v="5"/>
    <n v="51102"/>
  </r>
  <r>
    <s v="ORD0346"/>
    <d v="2026-05-09T00:00:00"/>
    <x v="9"/>
    <x v="7"/>
    <x v="2"/>
    <x v="1"/>
    <n v="3"/>
    <n v="8970"/>
    <x v="343"/>
    <x v="0"/>
    <n v="26910"/>
  </r>
  <r>
    <s v="ORD0347"/>
    <d v="2026-11-11T00:00:00"/>
    <x v="2"/>
    <x v="10"/>
    <x v="3"/>
    <x v="3"/>
    <n v="2"/>
    <n v="1224"/>
    <x v="344"/>
    <x v="3"/>
    <n v="2448"/>
  </r>
  <r>
    <s v="ORD0348"/>
    <d v="2026-10-25T00:00:00"/>
    <x v="15"/>
    <x v="7"/>
    <x v="2"/>
    <x v="0"/>
    <n v="6"/>
    <n v="8049"/>
    <x v="345"/>
    <x v="1"/>
    <n v="48294"/>
  </r>
  <r>
    <s v="ORD0349"/>
    <d v="2026-11-06T00:00:00"/>
    <x v="18"/>
    <x v="0"/>
    <x v="0"/>
    <x v="1"/>
    <n v="5"/>
    <n v="1864"/>
    <x v="346"/>
    <x v="3"/>
    <n v="9320"/>
  </r>
  <r>
    <s v="ORD0350"/>
    <d v="2026-11-25T00:00:00"/>
    <x v="10"/>
    <x v="6"/>
    <x v="1"/>
    <x v="4"/>
    <n v="1"/>
    <n v="41985"/>
    <x v="347"/>
    <x v="3"/>
    <n v="41985"/>
  </r>
  <r>
    <s v="ORD0351"/>
    <d v="2026-08-02T00:00:00"/>
    <x v="5"/>
    <x v="0"/>
    <x v="0"/>
    <x v="3"/>
    <n v="2"/>
    <n v="1877"/>
    <x v="348"/>
    <x v="10"/>
    <n v="3754"/>
  </r>
  <r>
    <s v="ORD0352"/>
    <d v="2026-11-25T00:00:00"/>
    <x v="19"/>
    <x v="11"/>
    <x v="1"/>
    <x v="2"/>
    <n v="6"/>
    <n v="12088"/>
    <x v="349"/>
    <x v="3"/>
    <n v="72528"/>
  </r>
  <r>
    <s v="ORD0353"/>
    <d v="2026-08-21T00:00:00"/>
    <x v="1"/>
    <x v="4"/>
    <x v="3"/>
    <x v="3"/>
    <n v="6"/>
    <n v="2462"/>
    <x v="350"/>
    <x v="10"/>
    <n v="14772"/>
  </r>
  <r>
    <s v="ORD0354"/>
    <d v="2026-08-26T00:00:00"/>
    <x v="9"/>
    <x v="1"/>
    <x v="1"/>
    <x v="4"/>
    <n v="4"/>
    <n v="17757"/>
    <x v="351"/>
    <x v="10"/>
    <n v="71028"/>
  </r>
  <r>
    <s v="ORD0355"/>
    <d v="2026-06-13T00:00:00"/>
    <x v="7"/>
    <x v="3"/>
    <x v="2"/>
    <x v="2"/>
    <n v="2"/>
    <n v="6790"/>
    <x v="352"/>
    <x v="5"/>
    <n v="13580"/>
  </r>
  <r>
    <s v="ORD0356"/>
    <d v="2026-02-24T00:00:00"/>
    <x v="18"/>
    <x v="1"/>
    <x v="1"/>
    <x v="0"/>
    <n v="3"/>
    <n v="18043"/>
    <x v="353"/>
    <x v="9"/>
    <n v="54129"/>
  </r>
  <r>
    <s v="ORD0357"/>
    <d v="2026-05-07T00:00:00"/>
    <x v="15"/>
    <x v="11"/>
    <x v="1"/>
    <x v="3"/>
    <n v="1"/>
    <n v="11554"/>
    <x v="354"/>
    <x v="0"/>
    <n v="11554"/>
  </r>
  <r>
    <s v="ORD0358"/>
    <d v="2026-11-12T00:00:00"/>
    <x v="13"/>
    <x v="6"/>
    <x v="1"/>
    <x v="0"/>
    <n v="3"/>
    <n v="48207"/>
    <x v="355"/>
    <x v="3"/>
    <n v="144621"/>
  </r>
  <r>
    <s v="ORD0359"/>
    <d v="2026-06-10T00:00:00"/>
    <x v="9"/>
    <x v="1"/>
    <x v="1"/>
    <x v="0"/>
    <n v="3"/>
    <n v="19249"/>
    <x v="356"/>
    <x v="5"/>
    <n v="57747"/>
  </r>
  <r>
    <s v="ORD0360"/>
    <d v="2026-06-07T00:00:00"/>
    <x v="17"/>
    <x v="11"/>
    <x v="1"/>
    <x v="3"/>
    <n v="5"/>
    <n v="11936"/>
    <x v="357"/>
    <x v="5"/>
    <n v="59680"/>
  </r>
  <r>
    <s v="ORD0361"/>
    <d v="2026-05-04T00:00:00"/>
    <x v="9"/>
    <x v="8"/>
    <x v="1"/>
    <x v="1"/>
    <n v="4"/>
    <n v="22019"/>
    <x v="358"/>
    <x v="0"/>
    <n v="88076"/>
  </r>
  <r>
    <s v="ORD0362"/>
    <d v="2026-09-11T00:00:00"/>
    <x v="5"/>
    <x v="5"/>
    <x v="3"/>
    <x v="2"/>
    <n v="1"/>
    <n v="742"/>
    <x v="359"/>
    <x v="11"/>
    <n v="742"/>
  </r>
  <r>
    <s v="ORD0363"/>
    <d v="2026-02-25T00:00:00"/>
    <x v="13"/>
    <x v="10"/>
    <x v="3"/>
    <x v="0"/>
    <n v="5"/>
    <n v="1106"/>
    <x v="360"/>
    <x v="9"/>
    <n v="5530"/>
  </r>
  <r>
    <s v="ORD0364"/>
    <d v="2026-07-26T00:00:00"/>
    <x v="7"/>
    <x v="10"/>
    <x v="3"/>
    <x v="3"/>
    <n v="6"/>
    <n v="1174"/>
    <x v="361"/>
    <x v="8"/>
    <n v="7044"/>
  </r>
  <r>
    <s v="ORD0365"/>
    <d v="2026-04-10T00:00:00"/>
    <x v="7"/>
    <x v="2"/>
    <x v="1"/>
    <x v="1"/>
    <n v="1"/>
    <n v="15169"/>
    <x v="362"/>
    <x v="2"/>
    <n v="15169"/>
  </r>
  <r>
    <s v="ORD0366"/>
    <d v="2026-08-19T00:00:00"/>
    <x v="2"/>
    <x v="10"/>
    <x v="3"/>
    <x v="4"/>
    <n v="1"/>
    <n v="1178"/>
    <x v="363"/>
    <x v="10"/>
    <n v="1178"/>
  </r>
  <r>
    <s v="ORD0367"/>
    <d v="2026-03-07T00:00:00"/>
    <x v="4"/>
    <x v="3"/>
    <x v="2"/>
    <x v="2"/>
    <n v="6"/>
    <n v="7124"/>
    <x v="364"/>
    <x v="6"/>
    <n v="42744"/>
  </r>
  <r>
    <s v="ORD0368"/>
    <d v="2026-07-07T00:00:00"/>
    <x v="15"/>
    <x v="5"/>
    <x v="3"/>
    <x v="0"/>
    <n v="3"/>
    <n v="807"/>
    <x v="176"/>
    <x v="8"/>
    <n v="2421"/>
  </r>
  <r>
    <s v="ORD0369"/>
    <d v="2026-01-21T00:00:00"/>
    <x v="12"/>
    <x v="3"/>
    <x v="2"/>
    <x v="3"/>
    <n v="5"/>
    <n v="6890"/>
    <x v="365"/>
    <x v="4"/>
    <n v="34450"/>
  </r>
  <r>
    <s v="ORD0370"/>
    <d v="2026-08-31T00:00:00"/>
    <x v="14"/>
    <x v="1"/>
    <x v="1"/>
    <x v="2"/>
    <n v="6"/>
    <n v="17519"/>
    <x v="366"/>
    <x v="10"/>
    <n v="105114"/>
  </r>
  <r>
    <s v="ORD0371"/>
    <d v="2026-03-13T00:00:00"/>
    <x v="18"/>
    <x v="1"/>
    <x v="1"/>
    <x v="1"/>
    <n v="5"/>
    <n v="19132"/>
    <x v="367"/>
    <x v="6"/>
    <n v="95660"/>
  </r>
  <r>
    <s v="ORD0372"/>
    <d v="2026-11-12T00:00:00"/>
    <x v="19"/>
    <x v="5"/>
    <x v="3"/>
    <x v="1"/>
    <n v="2"/>
    <n v="786"/>
    <x v="368"/>
    <x v="3"/>
    <n v="1572"/>
  </r>
  <r>
    <s v="ORD0373"/>
    <d v="2026-09-30T00:00:00"/>
    <x v="17"/>
    <x v="5"/>
    <x v="3"/>
    <x v="1"/>
    <n v="5"/>
    <n v="842"/>
    <x v="369"/>
    <x v="11"/>
    <n v="4210"/>
  </r>
  <r>
    <s v="ORD0374"/>
    <d v="2026-07-08T00:00:00"/>
    <x v="18"/>
    <x v="10"/>
    <x v="3"/>
    <x v="3"/>
    <n v="4"/>
    <n v="1261"/>
    <x v="370"/>
    <x v="8"/>
    <n v="5044"/>
  </r>
  <r>
    <s v="ORD0375"/>
    <d v="2026-12-19T00:00:00"/>
    <x v="16"/>
    <x v="2"/>
    <x v="1"/>
    <x v="1"/>
    <n v="5"/>
    <n v="14538"/>
    <x v="371"/>
    <x v="7"/>
    <n v="72690"/>
  </r>
  <r>
    <s v="ORD0376"/>
    <d v="2026-10-24T00:00:00"/>
    <x v="10"/>
    <x v="11"/>
    <x v="1"/>
    <x v="0"/>
    <n v="3"/>
    <n v="12897"/>
    <x v="372"/>
    <x v="1"/>
    <n v="38691"/>
  </r>
  <r>
    <s v="ORD0377"/>
    <d v="2026-03-29T00:00:00"/>
    <x v="14"/>
    <x v="9"/>
    <x v="4"/>
    <x v="1"/>
    <n v="1"/>
    <n v="253"/>
    <x v="373"/>
    <x v="6"/>
    <n v="253"/>
  </r>
  <r>
    <s v="ORD0378"/>
    <d v="2026-05-05T00:00:00"/>
    <x v="12"/>
    <x v="2"/>
    <x v="1"/>
    <x v="1"/>
    <n v="2"/>
    <n v="15772"/>
    <x v="374"/>
    <x v="0"/>
    <n v="31544"/>
  </r>
  <r>
    <s v="ORD0379"/>
    <d v="2026-08-14T00:00:00"/>
    <x v="18"/>
    <x v="9"/>
    <x v="4"/>
    <x v="2"/>
    <n v="1"/>
    <n v="238"/>
    <x v="375"/>
    <x v="10"/>
    <n v="238"/>
  </r>
  <r>
    <s v="ORD0380"/>
    <d v="2026-07-30T00:00:00"/>
    <x v="14"/>
    <x v="1"/>
    <x v="1"/>
    <x v="1"/>
    <n v="4"/>
    <n v="18549"/>
    <x v="376"/>
    <x v="8"/>
    <n v="74196"/>
  </r>
  <r>
    <s v="ORD0381"/>
    <d v="2026-12-28T00:00:00"/>
    <x v="15"/>
    <x v="11"/>
    <x v="1"/>
    <x v="1"/>
    <n v="6"/>
    <n v="12437"/>
    <x v="377"/>
    <x v="7"/>
    <n v="74622"/>
  </r>
  <r>
    <s v="ORD0382"/>
    <d v="2026-12-06T00:00:00"/>
    <x v="17"/>
    <x v="4"/>
    <x v="3"/>
    <x v="1"/>
    <n v="5"/>
    <n v="2430"/>
    <x v="378"/>
    <x v="7"/>
    <n v="12150"/>
  </r>
  <r>
    <s v="ORD0383"/>
    <d v="2026-08-24T00:00:00"/>
    <x v="2"/>
    <x v="2"/>
    <x v="1"/>
    <x v="4"/>
    <n v="3"/>
    <n v="16096"/>
    <x v="379"/>
    <x v="10"/>
    <n v="48288"/>
  </r>
  <r>
    <s v="ORD0384"/>
    <d v="2026-12-15T00:00:00"/>
    <x v="8"/>
    <x v="7"/>
    <x v="2"/>
    <x v="1"/>
    <n v="3"/>
    <n v="8739"/>
    <x v="380"/>
    <x v="7"/>
    <n v="26217"/>
  </r>
  <r>
    <s v="ORD0385"/>
    <d v="2026-05-23T00:00:00"/>
    <x v="2"/>
    <x v="11"/>
    <x v="1"/>
    <x v="4"/>
    <n v="2"/>
    <n v="12878"/>
    <x v="381"/>
    <x v="0"/>
    <n v="25756"/>
  </r>
  <r>
    <s v="ORD0386"/>
    <d v="2026-12-27T00:00:00"/>
    <x v="9"/>
    <x v="4"/>
    <x v="3"/>
    <x v="2"/>
    <n v="3"/>
    <n v="2608"/>
    <x v="382"/>
    <x v="7"/>
    <n v="7824"/>
  </r>
  <r>
    <s v="ORD0387"/>
    <d v="2026-05-21T00:00:00"/>
    <x v="19"/>
    <x v="5"/>
    <x v="3"/>
    <x v="3"/>
    <n v="4"/>
    <n v="781"/>
    <x v="383"/>
    <x v="0"/>
    <n v="3124"/>
  </r>
  <r>
    <s v="ORD0388"/>
    <d v="2026-07-22T00:00:00"/>
    <x v="7"/>
    <x v="3"/>
    <x v="2"/>
    <x v="0"/>
    <n v="6"/>
    <n v="7048"/>
    <x v="384"/>
    <x v="8"/>
    <n v="42288"/>
  </r>
  <r>
    <s v="ORD0389"/>
    <d v="2026-02-10T00:00:00"/>
    <x v="7"/>
    <x v="10"/>
    <x v="3"/>
    <x v="2"/>
    <n v="1"/>
    <n v="1159"/>
    <x v="385"/>
    <x v="9"/>
    <n v="1159"/>
  </r>
  <r>
    <s v="ORD0390"/>
    <d v="2026-04-20T00:00:00"/>
    <x v="9"/>
    <x v="0"/>
    <x v="0"/>
    <x v="1"/>
    <n v="3"/>
    <n v="1871"/>
    <x v="386"/>
    <x v="2"/>
    <n v="5613"/>
  </r>
  <r>
    <s v="ORD0391"/>
    <d v="2026-03-12T00:00:00"/>
    <x v="4"/>
    <x v="10"/>
    <x v="3"/>
    <x v="1"/>
    <n v="5"/>
    <n v="1238"/>
    <x v="387"/>
    <x v="6"/>
    <n v="6190"/>
  </r>
  <r>
    <s v="ORD0392"/>
    <d v="2026-01-26T00:00:00"/>
    <x v="14"/>
    <x v="9"/>
    <x v="4"/>
    <x v="0"/>
    <n v="5"/>
    <n v="240"/>
    <x v="388"/>
    <x v="4"/>
    <n v="1200"/>
  </r>
  <r>
    <s v="ORD0393"/>
    <d v="2026-07-31T00:00:00"/>
    <x v="18"/>
    <x v="0"/>
    <x v="0"/>
    <x v="2"/>
    <n v="2"/>
    <n v="1671"/>
    <x v="389"/>
    <x v="8"/>
    <n v="3342"/>
  </r>
  <r>
    <s v="ORD0394"/>
    <d v="2026-01-03T00:00:00"/>
    <x v="2"/>
    <x v="8"/>
    <x v="1"/>
    <x v="0"/>
    <n v="6"/>
    <n v="22953"/>
    <x v="390"/>
    <x v="4"/>
    <n v="137718"/>
  </r>
  <r>
    <s v="ORD0395"/>
    <d v="2026-09-01T00:00:00"/>
    <x v="17"/>
    <x v="2"/>
    <x v="1"/>
    <x v="0"/>
    <n v="6"/>
    <n v="16044"/>
    <x v="391"/>
    <x v="11"/>
    <n v="96264"/>
  </r>
  <r>
    <s v="ORD0396"/>
    <d v="2026-01-31T00:00:00"/>
    <x v="1"/>
    <x v="10"/>
    <x v="3"/>
    <x v="1"/>
    <n v="3"/>
    <n v="1159"/>
    <x v="392"/>
    <x v="4"/>
    <n v="3477"/>
  </r>
  <r>
    <s v="ORD0397"/>
    <d v="2026-01-20T00:00:00"/>
    <x v="3"/>
    <x v="4"/>
    <x v="3"/>
    <x v="2"/>
    <n v="5"/>
    <n v="2595"/>
    <x v="393"/>
    <x v="4"/>
    <n v="12975"/>
  </r>
  <r>
    <s v="ORD0398"/>
    <d v="2026-07-23T00:00:00"/>
    <x v="17"/>
    <x v="1"/>
    <x v="1"/>
    <x v="0"/>
    <n v="1"/>
    <n v="19432"/>
    <x v="394"/>
    <x v="8"/>
    <n v="19432"/>
  </r>
  <r>
    <s v="ORD0399"/>
    <d v="2026-01-05T00:00:00"/>
    <x v="19"/>
    <x v="9"/>
    <x v="4"/>
    <x v="1"/>
    <n v="3"/>
    <n v="265"/>
    <x v="395"/>
    <x v="4"/>
    <n v="795"/>
  </r>
  <r>
    <s v="ORD0400"/>
    <d v="2026-06-21T00:00:00"/>
    <x v="19"/>
    <x v="3"/>
    <x v="2"/>
    <x v="2"/>
    <n v="1"/>
    <n v="7480"/>
    <x v="117"/>
    <x v="5"/>
    <n v="7480"/>
  </r>
  <r>
    <s v="ORD0401"/>
    <d v="2026-03-10T00:00:00"/>
    <x v="14"/>
    <x v="0"/>
    <x v="0"/>
    <x v="2"/>
    <n v="5"/>
    <n v="1807"/>
    <x v="396"/>
    <x v="6"/>
    <n v="9035"/>
  </r>
  <r>
    <s v="ORD0402"/>
    <d v="2026-06-19T00:00:00"/>
    <x v="3"/>
    <x v="10"/>
    <x v="3"/>
    <x v="2"/>
    <n v="2"/>
    <n v="1259"/>
    <x v="397"/>
    <x v="5"/>
    <n v="2518"/>
  </r>
  <r>
    <s v="ORD0403"/>
    <d v="2026-01-08T00:00:00"/>
    <x v="18"/>
    <x v="0"/>
    <x v="0"/>
    <x v="4"/>
    <n v="3"/>
    <n v="1863"/>
    <x v="398"/>
    <x v="4"/>
    <n v="5589"/>
  </r>
  <r>
    <s v="ORD0404"/>
    <d v="2026-03-31T00:00:00"/>
    <x v="5"/>
    <x v="3"/>
    <x v="2"/>
    <x v="2"/>
    <n v="6"/>
    <n v="7288"/>
    <x v="399"/>
    <x v="6"/>
    <n v="43728"/>
  </r>
  <r>
    <s v="ORD0405"/>
    <d v="2026-07-25T00:00:00"/>
    <x v="4"/>
    <x v="2"/>
    <x v="1"/>
    <x v="0"/>
    <n v="5"/>
    <n v="14587"/>
    <x v="400"/>
    <x v="8"/>
    <n v="72935"/>
  </r>
  <r>
    <s v="ORD0406"/>
    <d v="2026-05-08T00:00:00"/>
    <x v="16"/>
    <x v="1"/>
    <x v="1"/>
    <x v="4"/>
    <n v="4"/>
    <n v="17492"/>
    <x v="401"/>
    <x v="0"/>
    <n v="69968"/>
  </r>
  <r>
    <s v="ORD0407"/>
    <d v="2026-05-17T00:00:00"/>
    <x v="18"/>
    <x v="2"/>
    <x v="1"/>
    <x v="4"/>
    <n v="2"/>
    <n v="14872"/>
    <x v="402"/>
    <x v="0"/>
    <n v="29744"/>
  </r>
  <r>
    <s v="ORD0408"/>
    <d v="2026-05-14T00:00:00"/>
    <x v="7"/>
    <x v="3"/>
    <x v="2"/>
    <x v="0"/>
    <n v="6"/>
    <n v="7082"/>
    <x v="403"/>
    <x v="0"/>
    <n v="42492"/>
  </r>
  <r>
    <s v="ORD0409"/>
    <d v="2026-06-07T00:00:00"/>
    <x v="3"/>
    <x v="6"/>
    <x v="1"/>
    <x v="2"/>
    <n v="6"/>
    <n v="42251"/>
    <x v="404"/>
    <x v="5"/>
    <n v="253506"/>
  </r>
  <r>
    <s v="ORD0410"/>
    <d v="2026-12-27T00:00:00"/>
    <x v="19"/>
    <x v="0"/>
    <x v="0"/>
    <x v="3"/>
    <n v="5"/>
    <n v="1922"/>
    <x v="405"/>
    <x v="7"/>
    <n v="9610"/>
  </r>
  <r>
    <s v="ORD0411"/>
    <d v="2026-04-24T00:00:00"/>
    <x v="0"/>
    <x v="0"/>
    <x v="0"/>
    <x v="0"/>
    <n v="3"/>
    <n v="1762"/>
    <x v="406"/>
    <x v="2"/>
    <n v="5286"/>
  </r>
  <r>
    <s v="ORD0412"/>
    <d v="2026-11-07T00:00:00"/>
    <x v="7"/>
    <x v="11"/>
    <x v="1"/>
    <x v="2"/>
    <n v="2"/>
    <n v="11914"/>
    <x v="407"/>
    <x v="3"/>
    <n v="23828"/>
  </r>
  <r>
    <s v="ORD0413"/>
    <d v="2026-10-03T00:00:00"/>
    <x v="9"/>
    <x v="9"/>
    <x v="4"/>
    <x v="0"/>
    <n v="5"/>
    <n v="267"/>
    <x v="408"/>
    <x v="1"/>
    <n v="1335"/>
  </r>
  <r>
    <s v="ORD0414"/>
    <d v="2026-02-11T00:00:00"/>
    <x v="14"/>
    <x v="0"/>
    <x v="0"/>
    <x v="2"/>
    <n v="5"/>
    <n v="1907"/>
    <x v="409"/>
    <x v="9"/>
    <n v="9535"/>
  </r>
  <r>
    <s v="ORD0415"/>
    <d v="2026-10-16T00:00:00"/>
    <x v="4"/>
    <x v="7"/>
    <x v="2"/>
    <x v="3"/>
    <n v="6"/>
    <n v="8312"/>
    <x v="410"/>
    <x v="1"/>
    <n v="49872"/>
  </r>
  <r>
    <s v="ORD0416"/>
    <d v="2026-10-02T00:00:00"/>
    <x v="15"/>
    <x v="7"/>
    <x v="2"/>
    <x v="0"/>
    <n v="5"/>
    <n v="8095"/>
    <x v="411"/>
    <x v="1"/>
    <n v="40475"/>
  </r>
  <r>
    <s v="ORD0417"/>
    <d v="2026-12-15T00:00:00"/>
    <x v="9"/>
    <x v="5"/>
    <x v="3"/>
    <x v="1"/>
    <n v="5"/>
    <n v="793"/>
    <x v="412"/>
    <x v="7"/>
    <n v="3965"/>
  </r>
  <r>
    <s v="ORD0418"/>
    <d v="2026-08-17T00:00:00"/>
    <x v="12"/>
    <x v="11"/>
    <x v="1"/>
    <x v="2"/>
    <n v="1"/>
    <n v="12766"/>
    <x v="413"/>
    <x v="10"/>
    <n v="12766"/>
  </r>
  <r>
    <s v="ORD0419"/>
    <d v="2026-10-16T00:00:00"/>
    <x v="12"/>
    <x v="1"/>
    <x v="1"/>
    <x v="1"/>
    <n v="5"/>
    <n v="17756"/>
    <x v="414"/>
    <x v="1"/>
    <n v="88780"/>
  </r>
  <r>
    <s v="ORD0420"/>
    <d v="2026-01-12T00:00:00"/>
    <x v="6"/>
    <x v="11"/>
    <x v="1"/>
    <x v="4"/>
    <n v="6"/>
    <n v="12589"/>
    <x v="415"/>
    <x v="4"/>
    <n v="75534"/>
  </r>
  <r>
    <s v="ORD0421"/>
    <d v="2026-02-07T00:00:00"/>
    <x v="12"/>
    <x v="6"/>
    <x v="1"/>
    <x v="2"/>
    <n v="6"/>
    <n v="42969"/>
    <x v="416"/>
    <x v="9"/>
    <n v="257814"/>
  </r>
  <r>
    <s v="ORD0422"/>
    <d v="2026-01-31T00:00:00"/>
    <x v="1"/>
    <x v="5"/>
    <x v="3"/>
    <x v="2"/>
    <n v="6"/>
    <n v="744"/>
    <x v="417"/>
    <x v="4"/>
    <n v="4464"/>
  </r>
  <r>
    <s v="ORD0423"/>
    <d v="2026-03-11T00:00:00"/>
    <x v="13"/>
    <x v="6"/>
    <x v="1"/>
    <x v="4"/>
    <n v="3"/>
    <n v="44344"/>
    <x v="418"/>
    <x v="6"/>
    <n v="133032"/>
  </r>
  <r>
    <s v="ORD0424"/>
    <d v="2026-07-13T00:00:00"/>
    <x v="6"/>
    <x v="2"/>
    <x v="1"/>
    <x v="3"/>
    <n v="4"/>
    <n v="15887"/>
    <x v="419"/>
    <x v="8"/>
    <n v="63548"/>
  </r>
  <r>
    <s v="ORD0425"/>
    <d v="2026-03-10T00:00:00"/>
    <x v="7"/>
    <x v="0"/>
    <x v="0"/>
    <x v="3"/>
    <n v="6"/>
    <n v="1908"/>
    <x v="420"/>
    <x v="6"/>
    <n v="11448"/>
  </r>
  <r>
    <s v="ORD0426"/>
    <d v="2026-03-07T00:00:00"/>
    <x v="0"/>
    <x v="1"/>
    <x v="1"/>
    <x v="3"/>
    <n v="5"/>
    <n v="17692"/>
    <x v="421"/>
    <x v="6"/>
    <n v="88460"/>
  </r>
  <r>
    <s v="ORD0427"/>
    <d v="2026-10-06T00:00:00"/>
    <x v="13"/>
    <x v="6"/>
    <x v="1"/>
    <x v="1"/>
    <n v="3"/>
    <n v="44734"/>
    <x v="422"/>
    <x v="1"/>
    <n v="134202"/>
  </r>
  <r>
    <s v="ORD0428"/>
    <d v="2026-06-27T00:00:00"/>
    <x v="15"/>
    <x v="2"/>
    <x v="1"/>
    <x v="4"/>
    <n v="2"/>
    <n v="14394"/>
    <x v="423"/>
    <x v="5"/>
    <n v="28788"/>
  </r>
  <r>
    <s v="ORD0429"/>
    <d v="2026-01-17T00:00:00"/>
    <x v="13"/>
    <x v="4"/>
    <x v="3"/>
    <x v="1"/>
    <n v="6"/>
    <n v="2606"/>
    <x v="424"/>
    <x v="4"/>
    <n v="15636"/>
  </r>
  <r>
    <s v="ORD0430"/>
    <d v="2026-02-21T00:00:00"/>
    <x v="5"/>
    <x v="6"/>
    <x v="1"/>
    <x v="3"/>
    <n v="2"/>
    <n v="42884"/>
    <x v="425"/>
    <x v="9"/>
    <n v="85768"/>
  </r>
  <r>
    <s v="ORD0431"/>
    <d v="2026-01-25T00:00:00"/>
    <x v="0"/>
    <x v="11"/>
    <x v="1"/>
    <x v="3"/>
    <n v="5"/>
    <n v="12330"/>
    <x v="426"/>
    <x v="4"/>
    <n v="61650"/>
  </r>
  <r>
    <s v="ORD0432"/>
    <d v="2026-04-22T00:00:00"/>
    <x v="12"/>
    <x v="2"/>
    <x v="1"/>
    <x v="0"/>
    <n v="4"/>
    <n v="14362"/>
    <x v="427"/>
    <x v="2"/>
    <n v="57448"/>
  </r>
  <r>
    <s v="ORD0433"/>
    <d v="2026-10-22T00:00:00"/>
    <x v="18"/>
    <x v="7"/>
    <x v="2"/>
    <x v="1"/>
    <n v="3"/>
    <n v="8138"/>
    <x v="428"/>
    <x v="1"/>
    <n v="24414"/>
  </r>
  <r>
    <s v="ORD0434"/>
    <d v="2026-05-02T00:00:00"/>
    <x v="19"/>
    <x v="3"/>
    <x v="2"/>
    <x v="0"/>
    <n v="6"/>
    <n v="7357"/>
    <x v="429"/>
    <x v="0"/>
    <n v="44142"/>
  </r>
  <r>
    <s v="ORD0435"/>
    <d v="2026-06-03T00:00:00"/>
    <x v="8"/>
    <x v="0"/>
    <x v="0"/>
    <x v="3"/>
    <n v="5"/>
    <n v="1720"/>
    <x v="430"/>
    <x v="5"/>
    <n v="8600"/>
  </r>
  <r>
    <s v="ORD0436"/>
    <d v="2026-03-31T00:00:00"/>
    <x v="13"/>
    <x v="7"/>
    <x v="2"/>
    <x v="1"/>
    <n v="5"/>
    <n v="9016"/>
    <x v="431"/>
    <x v="6"/>
    <n v="45080"/>
  </r>
  <r>
    <s v="ORD0437"/>
    <d v="2026-11-26T00:00:00"/>
    <x v="6"/>
    <x v="11"/>
    <x v="1"/>
    <x v="1"/>
    <n v="1"/>
    <n v="12907"/>
    <x v="432"/>
    <x v="3"/>
    <n v="12907"/>
  </r>
  <r>
    <s v="ORD0438"/>
    <d v="2026-03-18T00:00:00"/>
    <x v="19"/>
    <x v="5"/>
    <x v="3"/>
    <x v="2"/>
    <n v="6"/>
    <n v="789"/>
    <x v="201"/>
    <x v="6"/>
    <n v="4734"/>
  </r>
  <r>
    <s v="ORD0439"/>
    <d v="2026-04-26T00:00:00"/>
    <x v="19"/>
    <x v="1"/>
    <x v="1"/>
    <x v="0"/>
    <n v="5"/>
    <n v="17924"/>
    <x v="433"/>
    <x v="2"/>
    <n v="89620"/>
  </r>
  <r>
    <s v="ORD0440"/>
    <d v="2026-08-02T00:00:00"/>
    <x v="2"/>
    <x v="11"/>
    <x v="1"/>
    <x v="1"/>
    <n v="1"/>
    <n v="12120"/>
    <x v="434"/>
    <x v="10"/>
    <n v="12120"/>
  </r>
  <r>
    <s v="ORD0441"/>
    <d v="2026-04-15T00:00:00"/>
    <x v="18"/>
    <x v="1"/>
    <x v="1"/>
    <x v="3"/>
    <n v="4"/>
    <n v="17259"/>
    <x v="435"/>
    <x v="2"/>
    <n v="69036"/>
  </r>
  <r>
    <s v="ORD0442"/>
    <d v="2026-04-08T00:00:00"/>
    <x v="12"/>
    <x v="11"/>
    <x v="1"/>
    <x v="4"/>
    <n v="3"/>
    <n v="11218"/>
    <x v="436"/>
    <x v="2"/>
    <n v="33654"/>
  </r>
  <r>
    <s v="ORD0443"/>
    <d v="2026-01-21T00:00:00"/>
    <x v="1"/>
    <x v="2"/>
    <x v="1"/>
    <x v="0"/>
    <n v="6"/>
    <n v="15252"/>
    <x v="437"/>
    <x v="4"/>
    <n v="91512"/>
  </r>
  <r>
    <s v="ORD0444"/>
    <d v="2026-04-22T00:00:00"/>
    <x v="17"/>
    <x v="3"/>
    <x v="2"/>
    <x v="0"/>
    <n v="6"/>
    <n v="7192"/>
    <x v="438"/>
    <x v="2"/>
    <n v="43152"/>
  </r>
  <r>
    <s v="ORD0445"/>
    <d v="2026-01-08T00:00:00"/>
    <x v="9"/>
    <x v="5"/>
    <x v="3"/>
    <x v="0"/>
    <n v="3"/>
    <n v="858"/>
    <x v="439"/>
    <x v="4"/>
    <n v="2574"/>
  </r>
  <r>
    <s v="ORD0446"/>
    <d v="2026-09-03T00:00:00"/>
    <x v="0"/>
    <x v="9"/>
    <x v="4"/>
    <x v="1"/>
    <n v="1"/>
    <n v="260"/>
    <x v="440"/>
    <x v="11"/>
    <n v="260"/>
  </r>
  <r>
    <s v="ORD0447"/>
    <d v="2026-05-03T00:00:00"/>
    <x v="2"/>
    <x v="9"/>
    <x v="4"/>
    <x v="4"/>
    <n v="2"/>
    <n v="246"/>
    <x v="441"/>
    <x v="0"/>
    <n v="492"/>
  </r>
  <r>
    <s v="ORD0448"/>
    <d v="2026-11-29T00:00:00"/>
    <x v="7"/>
    <x v="10"/>
    <x v="3"/>
    <x v="4"/>
    <n v="4"/>
    <n v="1194"/>
    <x v="442"/>
    <x v="3"/>
    <n v="4776"/>
  </r>
  <r>
    <s v="ORD0449"/>
    <d v="2026-09-12T00:00:00"/>
    <x v="11"/>
    <x v="10"/>
    <x v="3"/>
    <x v="3"/>
    <n v="3"/>
    <n v="1202"/>
    <x v="443"/>
    <x v="11"/>
    <n v="3606"/>
  </r>
  <r>
    <s v="ORD0450"/>
    <d v="2026-06-13T00:00:00"/>
    <x v="9"/>
    <x v="9"/>
    <x v="4"/>
    <x v="4"/>
    <n v="4"/>
    <n v="260"/>
    <x v="444"/>
    <x v="5"/>
    <n v="1040"/>
  </r>
  <r>
    <s v="ORD0451"/>
    <d v="2026-04-24T00:00:00"/>
    <x v="15"/>
    <x v="5"/>
    <x v="3"/>
    <x v="3"/>
    <n v="4"/>
    <n v="742"/>
    <x v="445"/>
    <x v="2"/>
    <n v="2968"/>
  </r>
  <r>
    <s v="ORD0452"/>
    <d v="2026-10-24T00:00:00"/>
    <x v="13"/>
    <x v="10"/>
    <x v="3"/>
    <x v="4"/>
    <n v="5"/>
    <n v="1283"/>
    <x v="446"/>
    <x v="1"/>
    <n v="6415"/>
  </r>
  <r>
    <s v="ORD0453"/>
    <d v="2026-07-14T00:00:00"/>
    <x v="10"/>
    <x v="1"/>
    <x v="1"/>
    <x v="0"/>
    <n v="2"/>
    <n v="17510"/>
    <x v="447"/>
    <x v="8"/>
    <n v="35020"/>
  </r>
  <r>
    <s v="ORD0454"/>
    <d v="2026-12-17T00:00:00"/>
    <x v="18"/>
    <x v="11"/>
    <x v="1"/>
    <x v="4"/>
    <n v="5"/>
    <n v="12297"/>
    <x v="448"/>
    <x v="7"/>
    <n v="61485"/>
  </r>
  <r>
    <s v="ORD0455"/>
    <d v="2026-09-09T00:00:00"/>
    <x v="11"/>
    <x v="11"/>
    <x v="1"/>
    <x v="0"/>
    <n v="6"/>
    <n v="12272"/>
    <x v="449"/>
    <x v="11"/>
    <n v="73632"/>
  </r>
  <r>
    <s v="ORD0456"/>
    <d v="2026-10-07T00:00:00"/>
    <x v="17"/>
    <x v="9"/>
    <x v="4"/>
    <x v="0"/>
    <n v="3"/>
    <n v="237"/>
    <x v="450"/>
    <x v="1"/>
    <n v="711"/>
  </r>
  <r>
    <s v="ORD0457"/>
    <d v="2026-09-26T00:00:00"/>
    <x v="12"/>
    <x v="7"/>
    <x v="2"/>
    <x v="3"/>
    <n v="6"/>
    <n v="9122"/>
    <x v="451"/>
    <x v="11"/>
    <n v="54732"/>
  </r>
  <r>
    <s v="ORD0458"/>
    <d v="2026-07-31T00:00:00"/>
    <x v="15"/>
    <x v="0"/>
    <x v="0"/>
    <x v="0"/>
    <n v="1"/>
    <n v="1876"/>
    <x v="452"/>
    <x v="8"/>
    <n v="1876"/>
  </r>
  <r>
    <s v="ORD0459"/>
    <d v="2026-04-22T00:00:00"/>
    <x v="14"/>
    <x v="8"/>
    <x v="1"/>
    <x v="2"/>
    <n v="6"/>
    <n v="20772"/>
    <x v="453"/>
    <x v="2"/>
    <n v="124632"/>
  </r>
  <r>
    <s v="ORD0460"/>
    <d v="2026-12-08T00:00:00"/>
    <x v="5"/>
    <x v="5"/>
    <x v="3"/>
    <x v="2"/>
    <n v="1"/>
    <n v="815"/>
    <x v="454"/>
    <x v="7"/>
    <n v="815"/>
  </r>
  <r>
    <s v="ORD0461"/>
    <d v="2026-09-30T00:00:00"/>
    <x v="2"/>
    <x v="0"/>
    <x v="0"/>
    <x v="2"/>
    <n v="4"/>
    <n v="1661"/>
    <x v="455"/>
    <x v="11"/>
    <n v="6644"/>
  </r>
  <r>
    <s v="ORD0462"/>
    <d v="2026-05-21T00:00:00"/>
    <x v="2"/>
    <x v="6"/>
    <x v="1"/>
    <x v="4"/>
    <n v="1"/>
    <n v="45212"/>
    <x v="456"/>
    <x v="0"/>
    <n v="45212"/>
  </r>
  <r>
    <s v="ORD0463"/>
    <d v="2026-12-12T00:00:00"/>
    <x v="13"/>
    <x v="6"/>
    <x v="1"/>
    <x v="0"/>
    <n v="5"/>
    <n v="47255"/>
    <x v="457"/>
    <x v="7"/>
    <n v="236275"/>
  </r>
  <r>
    <s v="ORD0464"/>
    <d v="2026-05-04T00:00:00"/>
    <x v="9"/>
    <x v="8"/>
    <x v="1"/>
    <x v="1"/>
    <n v="1"/>
    <n v="22086"/>
    <x v="458"/>
    <x v="0"/>
    <n v="22086"/>
  </r>
  <r>
    <s v="ORD0465"/>
    <d v="2026-05-17T00:00:00"/>
    <x v="6"/>
    <x v="7"/>
    <x v="2"/>
    <x v="3"/>
    <n v="3"/>
    <n v="8929"/>
    <x v="459"/>
    <x v="0"/>
    <n v="26787"/>
  </r>
  <r>
    <s v="ORD0466"/>
    <d v="2026-05-05T00:00:00"/>
    <x v="0"/>
    <x v="5"/>
    <x v="3"/>
    <x v="4"/>
    <n v="4"/>
    <n v="795"/>
    <x v="460"/>
    <x v="0"/>
    <n v="3180"/>
  </r>
  <r>
    <s v="ORD0467"/>
    <d v="2026-11-29T00:00:00"/>
    <x v="12"/>
    <x v="0"/>
    <x v="0"/>
    <x v="3"/>
    <n v="1"/>
    <n v="1844"/>
    <x v="461"/>
    <x v="3"/>
    <n v="1844"/>
  </r>
  <r>
    <s v="ORD0468"/>
    <d v="2026-09-01T00:00:00"/>
    <x v="12"/>
    <x v="2"/>
    <x v="1"/>
    <x v="3"/>
    <n v="4"/>
    <n v="14705"/>
    <x v="462"/>
    <x v="11"/>
    <n v="58820"/>
  </r>
  <r>
    <s v="ORD0469"/>
    <d v="2026-08-11T00:00:00"/>
    <x v="18"/>
    <x v="9"/>
    <x v="4"/>
    <x v="1"/>
    <n v="2"/>
    <n v="233"/>
    <x v="118"/>
    <x v="10"/>
    <n v="466"/>
  </r>
  <r>
    <s v="ORD0470"/>
    <d v="2026-04-28T00:00:00"/>
    <x v="9"/>
    <x v="8"/>
    <x v="1"/>
    <x v="1"/>
    <n v="5"/>
    <n v="23475"/>
    <x v="463"/>
    <x v="2"/>
    <n v="117375"/>
  </r>
  <r>
    <s v="ORD0471"/>
    <d v="2026-02-08T00:00:00"/>
    <x v="8"/>
    <x v="11"/>
    <x v="1"/>
    <x v="1"/>
    <n v="3"/>
    <n v="11129"/>
    <x v="464"/>
    <x v="9"/>
    <n v="33387"/>
  </r>
  <r>
    <s v="ORD0472"/>
    <d v="2026-06-11T00:00:00"/>
    <x v="16"/>
    <x v="3"/>
    <x v="2"/>
    <x v="0"/>
    <n v="6"/>
    <n v="6477"/>
    <x v="465"/>
    <x v="5"/>
    <n v="38862"/>
  </r>
  <r>
    <s v="ORD0473"/>
    <d v="2026-12-31T00:00:00"/>
    <x v="6"/>
    <x v="3"/>
    <x v="2"/>
    <x v="3"/>
    <n v="2"/>
    <n v="7283"/>
    <x v="466"/>
    <x v="7"/>
    <n v="14566"/>
  </r>
  <r>
    <s v="ORD0474"/>
    <d v="2026-10-18T00:00:00"/>
    <x v="6"/>
    <x v="10"/>
    <x v="3"/>
    <x v="1"/>
    <n v="2"/>
    <n v="1212"/>
    <x v="467"/>
    <x v="1"/>
    <n v="2424"/>
  </r>
  <r>
    <s v="ORD0475"/>
    <d v="2026-03-13T00:00:00"/>
    <x v="1"/>
    <x v="5"/>
    <x v="3"/>
    <x v="1"/>
    <n v="4"/>
    <n v="833"/>
    <x v="468"/>
    <x v="6"/>
    <n v="3332"/>
  </r>
  <r>
    <s v="ORD0476"/>
    <d v="2026-08-12T00:00:00"/>
    <x v="0"/>
    <x v="9"/>
    <x v="4"/>
    <x v="3"/>
    <n v="3"/>
    <n v="232"/>
    <x v="469"/>
    <x v="10"/>
    <n v="696"/>
  </r>
  <r>
    <s v="ORD0477"/>
    <d v="2026-11-01T00:00:00"/>
    <x v="6"/>
    <x v="5"/>
    <x v="3"/>
    <x v="4"/>
    <n v="5"/>
    <n v="834"/>
    <x v="470"/>
    <x v="3"/>
    <n v="4170"/>
  </r>
  <r>
    <s v="ORD0478"/>
    <d v="2026-08-19T00:00:00"/>
    <x v="17"/>
    <x v="6"/>
    <x v="1"/>
    <x v="0"/>
    <n v="6"/>
    <n v="43368"/>
    <x v="471"/>
    <x v="10"/>
    <n v="260208"/>
  </r>
  <r>
    <s v="ORD0479"/>
    <d v="2026-08-10T00:00:00"/>
    <x v="3"/>
    <x v="5"/>
    <x v="3"/>
    <x v="1"/>
    <n v="5"/>
    <n v="856"/>
    <x v="472"/>
    <x v="10"/>
    <n v="4280"/>
  </r>
  <r>
    <s v="ORD0480"/>
    <d v="2026-11-13T00:00:00"/>
    <x v="19"/>
    <x v="0"/>
    <x v="0"/>
    <x v="0"/>
    <n v="4"/>
    <n v="1681"/>
    <x v="473"/>
    <x v="3"/>
    <n v="6724"/>
  </r>
  <r>
    <s v="ORD0481"/>
    <d v="2026-03-20T00:00:00"/>
    <x v="6"/>
    <x v="9"/>
    <x v="4"/>
    <x v="0"/>
    <n v="1"/>
    <n v="233"/>
    <x v="474"/>
    <x v="6"/>
    <n v="233"/>
  </r>
  <r>
    <s v="ORD0482"/>
    <d v="2026-02-24T00:00:00"/>
    <x v="1"/>
    <x v="9"/>
    <x v="4"/>
    <x v="3"/>
    <n v="4"/>
    <n v="243"/>
    <x v="475"/>
    <x v="9"/>
    <n v="972"/>
  </r>
  <r>
    <s v="ORD0483"/>
    <d v="2026-05-19T00:00:00"/>
    <x v="4"/>
    <x v="10"/>
    <x v="3"/>
    <x v="0"/>
    <n v="4"/>
    <n v="1173"/>
    <x v="476"/>
    <x v="0"/>
    <n v="4692"/>
  </r>
  <r>
    <s v="ORD0484"/>
    <d v="2026-10-13T00:00:00"/>
    <x v="2"/>
    <x v="8"/>
    <x v="1"/>
    <x v="1"/>
    <n v="2"/>
    <n v="21757"/>
    <x v="477"/>
    <x v="1"/>
    <n v="43514"/>
  </r>
  <r>
    <s v="ORD0485"/>
    <d v="2026-07-01T00:00:00"/>
    <x v="2"/>
    <x v="2"/>
    <x v="1"/>
    <x v="3"/>
    <n v="1"/>
    <n v="13863"/>
    <x v="478"/>
    <x v="8"/>
    <n v="13863"/>
  </r>
  <r>
    <s v="ORD0486"/>
    <d v="2026-07-17T00:00:00"/>
    <x v="16"/>
    <x v="3"/>
    <x v="2"/>
    <x v="4"/>
    <n v="5"/>
    <n v="7319"/>
    <x v="479"/>
    <x v="8"/>
    <n v="36595"/>
  </r>
  <r>
    <s v="ORD0487"/>
    <d v="2026-10-14T00:00:00"/>
    <x v="0"/>
    <x v="2"/>
    <x v="1"/>
    <x v="1"/>
    <n v="4"/>
    <n v="15670"/>
    <x v="480"/>
    <x v="1"/>
    <n v="62680"/>
  </r>
  <r>
    <s v="ORD0488"/>
    <d v="2026-03-28T00:00:00"/>
    <x v="15"/>
    <x v="7"/>
    <x v="2"/>
    <x v="4"/>
    <n v="2"/>
    <n v="8752"/>
    <x v="481"/>
    <x v="6"/>
    <n v="17504"/>
  </r>
  <r>
    <s v="ORD0489"/>
    <d v="2026-02-02T00:00:00"/>
    <x v="3"/>
    <x v="10"/>
    <x v="3"/>
    <x v="2"/>
    <n v="3"/>
    <n v="1199"/>
    <x v="482"/>
    <x v="9"/>
    <n v="3597"/>
  </r>
  <r>
    <s v="ORD0490"/>
    <d v="2026-02-09T00:00:00"/>
    <x v="7"/>
    <x v="10"/>
    <x v="3"/>
    <x v="4"/>
    <n v="4"/>
    <n v="1162"/>
    <x v="483"/>
    <x v="9"/>
    <n v="4648"/>
  </r>
  <r>
    <s v="ORD0491"/>
    <d v="2026-11-01T00:00:00"/>
    <x v="5"/>
    <x v="4"/>
    <x v="3"/>
    <x v="0"/>
    <n v="6"/>
    <n v="2550"/>
    <x v="484"/>
    <x v="3"/>
    <n v="15300"/>
  </r>
  <r>
    <s v="ORD0492"/>
    <d v="2026-01-04T00:00:00"/>
    <x v="6"/>
    <x v="11"/>
    <x v="1"/>
    <x v="4"/>
    <n v="1"/>
    <n v="11300"/>
    <x v="485"/>
    <x v="4"/>
    <n v="11300"/>
  </r>
  <r>
    <s v="ORD0493"/>
    <d v="2026-06-18T00:00:00"/>
    <x v="11"/>
    <x v="3"/>
    <x v="2"/>
    <x v="4"/>
    <n v="4"/>
    <n v="7341"/>
    <x v="486"/>
    <x v="5"/>
    <n v="29364"/>
  </r>
  <r>
    <s v="ORD0494"/>
    <d v="2026-03-11T00:00:00"/>
    <x v="19"/>
    <x v="2"/>
    <x v="1"/>
    <x v="4"/>
    <n v="6"/>
    <n v="16138"/>
    <x v="487"/>
    <x v="6"/>
    <n v="96828"/>
  </r>
  <r>
    <s v="ORD0495"/>
    <d v="2026-06-10T00:00:00"/>
    <x v="3"/>
    <x v="3"/>
    <x v="2"/>
    <x v="2"/>
    <n v="6"/>
    <n v="6665"/>
    <x v="488"/>
    <x v="5"/>
    <n v="39990"/>
  </r>
  <r>
    <s v="ORD0496"/>
    <d v="2026-11-21T00:00:00"/>
    <x v="17"/>
    <x v="5"/>
    <x v="3"/>
    <x v="1"/>
    <n v="3"/>
    <n v="830"/>
    <x v="489"/>
    <x v="3"/>
    <n v="2490"/>
  </r>
  <r>
    <s v="ORD0497"/>
    <d v="2026-07-21T00:00:00"/>
    <x v="7"/>
    <x v="4"/>
    <x v="3"/>
    <x v="3"/>
    <n v="3"/>
    <n v="2450"/>
    <x v="490"/>
    <x v="8"/>
    <n v="7350"/>
  </r>
  <r>
    <s v="ORD0498"/>
    <d v="2026-10-07T00:00:00"/>
    <x v="3"/>
    <x v="3"/>
    <x v="2"/>
    <x v="1"/>
    <n v="2"/>
    <n v="7103"/>
    <x v="491"/>
    <x v="1"/>
    <n v="14206"/>
  </r>
  <r>
    <s v="ORD0499"/>
    <d v="2026-12-29T00:00:00"/>
    <x v="9"/>
    <x v="6"/>
    <x v="1"/>
    <x v="2"/>
    <n v="6"/>
    <n v="44724"/>
    <x v="492"/>
    <x v="7"/>
    <n v="268344"/>
  </r>
  <r>
    <s v="ORD0500"/>
    <d v="2026-07-29T00:00:00"/>
    <x v="17"/>
    <x v="10"/>
    <x v="3"/>
    <x v="0"/>
    <n v="6"/>
    <n v="1117"/>
    <x v="493"/>
    <x v="8"/>
    <n v="67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989250-9851-4F4C-89F3-7791125736F2}"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9" firstHeaderRow="1" firstDataRow="1" firstDataCol="1"/>
  <pivotFields count="11">
    <pivotField showAll="0"/>
    <pivotField showAll="0"/>
    <pivotField showAll="0"/>
    <pivotField showAll="0">
      <items count="14">
        <item x="0"/>
        <item x="3"/>
        <item x="4"/>
        <item x="10"/>
        <item x="6"/>
        <item x="8"/>
        <item x="2"/>
        <item x="5"/>
        <item x="9"/>
        <item x="7"/>
        <item x="11"/>
        <item x="1"/>
        <item h="1" x="12"/>
        <item t="default"/>
      </items>
    </pivotField>
    <pivotField showAll="0">
      <items count="7">
        <item x="3"/>
        <item x="0"/>
        <item x="1"/>
        <item x="2"/>
        <item x="4"/>
        <item h="1" x="5"/>
        <item t="default"/>
      </items>
    </pivotField>
    <pivotField axis="axisRow" showAll="0" sortType="ascending">
      <items count="7">
        <item x="3"/>
        <item x="0"/>
        <item x="2"/>
        <item x="4"/>
        <item x="1"/>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4">
        <item x="4"/>
        <item x="9"/>
        <item x="6"/>
        <item x="2"/>
        <item x="0"/>
        <item x="5"/>
        <item x="8"/>
        <item x="10"/>
        <item x="11"/>
        <item x="1"/>
        <item x="3"/>
        <item x="7"/>
        <item x="12"/>
        <item t="default"/>
      </items>
    </pivotField>
    <pivotField showAll="0"/>
  </pivotFields>
  <rowFields count="1">
    <field x="5"/>
  </rowFields>
  <rowItems count="6">
    <i>
      <x v="3"/>
    </i>
    <i>
      <x/>
    </i>
    <i>
      <x v="2"/>
    </i>
    <i>
      <x v="4"/>
    </i>
    <i>
      <x v="1"/>
    </i>
    <i t="grand">
      <x/>
    </i>
  </rowItems>
  <colItems count="1">
    <i/>
  </colItems>
  <dataFields count="1">
    <dataField name="Sum of Sales" fld="8" baseField="0" baseItem="0"/>
  </dataFields>
  <formats count="1">
    <format dxfId="7">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C8CBD7-7101-48B2-9927-C477628331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G3:H16" firstHeaderRow="1" firstDataRow="1" firstDataCol="1"/>
  <pivotFields count="11">
    <pivotField showAll="0"/>
    <pivotField showAll="0"/>
    <pivotField showAll="0"/>
    <pivotField showAll="0">
      <items count="13">
        <item x="0"/>
        <item x="3"/>
        <item x="4"/>
        <item x="10"/>
        <item x="6"/>
        <item x="8"/>
        <item x="2"/>
        <item x="5"/>
        <item x="9"/>
        <item x="7"/>
        <item x="11"/>
        <item x="1"/>
        <item t="default"/>
      </items>
    </pivotField>
    <pivotField showAll="0">
      <items count="6">
        <item x="3"/>
        <item x="0"/>
        <item x="1"/>
        <item x="2"/>
        <item x="4"/>
        <item t="default"/>
      </items>
    </pivotField>
    <pivotField showAll="0">
      <items count="6">
        <item x="3"/>
        <item x="0"/>
        <item x="2"/>
        <item x="4"/>
        <item x="1"/>
        <item t="default"/>
      </items>
    </pivotField>
    <pivotField showAll="0"/>
    <pivotField showAll="0"/>
    <pivotField dataField="1" showAll="0"/>
    <pivotField axis="axisRow" showAll="0">
      <items count="13">
        <item x="4"/>
        <item x="9"/>
        <item x="6"/>
        <item x="2"/>
        <item x="0"/>
        <item x="5"/>
        <item x="8"/>
        <item x="10"/>
        <item x="11"/>
        <item x="1"/>
        <item x="3"/>
        <item x="7"/>
        <item t="default"/>
      </items>
    </pivotField>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Sales" fld="8" baseField="0" baseItem="0"/>
  </dataFields>
  <formats count="1">
    <format dxfId="8">
      <pivotArea collapsedLevelsAreSubtotals="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0F0242-D28D-45A2-91F3-CB4118CB37E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9" firstHeaderRow="1" firstDataRow="1" firstDataCol="1"/>
  <pivotFields count="11">
    <pivotField showAll="0"/>
    <pivotField showAll="0"/>
    <pivotField showAll="0"/>
    <pivotField showAll="0">
      <items count="14">
        <item x="0"/>
        <item x="3"/>
        <item x="4"/>
        <item x="10"/>
        <item x="6"/>
        <item x="8"/>
        <item x="2"/>
        <item x="5"/>
        <item x="9"/>
        <item x="7"/>
        <item x="11"/>
        <item x="1"/>
        <item h="1" x="12"/>
        <item t="default"/>
      </items>
    </pivotField>
    <pivotField axis="axisRow" showAll="0">
      <items count="7">
        <item x="3"/>
        <item x="0"/>
        <item x="1"/>
        <item x="2"/>
        <item x="4"/>
        <item h="1" x="5"/>
        <item t="default"/>
      </items>
    </pivotField>
    <pivotField showAll="0">
      <items count="7">
        <item x="3"/>
        <item x="0"/>
        <item x="2"/>
        <item x="4"/>
        <item x="1"/>
        <item x="5"/>
        <item t="default"/>
      </items>
    </pivotField>
    <pivotField showAll="0"/>
    <pivotField showAll="0"/>
    <pivotField dataField="1" showAll="0"/>
    <pivotField showAll="0">
      <items count="14">
        <item x="4"/>
        <item x="9"/>
        <item x="6"/>
        <item x="2"/>
        <item x="0"/>
        <item x="5"/>
        <item x="8"/>
        <item x="10"/>
        <item x="11"/>
        <item x="1"/>
        <item x="3"/>
        <item x="7"/>
        <item x="12"/>
        <item t="default"/>
      </items>
    </pivotField>
    <pivotField showAll="0"/>
  </pivotFields>
  <rowFields count="1">
    <field x="4"/>
  </rowFields>
  <rowItems count="6">
    <i>
      <x/>
    </i>
    <i>
      <x v="1"/>
    </i>
    <i>
      <x v="2"/>
    </i>
    <i>
      <x v="3"/>
    </i>
    <i>
      <x v="4"/>
    </i>
    <i t="grand">
      <x/>
    </i>
  </rowItems>
  <colItems count="1">
    <i/>
  </colItems>
  <dataFields count="1">
    <dataField name="Sum of Sales" fld="8" baseField="0" baseItem="0"/>
  </dataFields>
  <formats count="1">
    <format dxfId="9">
      <pivotArea collapsedLevelsAreSubtotals="1" fieldPosition="0">
        <references count="1">
          <reference field="4" count="0"/>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198870-9837-4EBE-A1AD-27D19EC8445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1">
    <pivotField showAll="0"/>
    <pivotField showAll="0"/>
    <pivotField showAll="0"/>
    <pivotField axis="axisRow" showAll="0">
      <items count="14">
        <item x="0"/>
        <item x="3"/>
        <item x="4"/>
        <item x="10"/>
        <item x="6"/>
        <item x="8"/>
        <item x="2"/>
        <item x="5"/>
        <item x="9"/>
        <item x="7"/>
        <item x="11"/>
        <item x="1"/>
        <item h="1" x="12"/>
        <item t="default"/>
      </items>
    </pivotField>
    <pivotField showAll="0">
      <items count="7">
        <item x="3"/>
        <item x="0"/>
        <item x="1"/>
        <item x="2"/>
        <item x="4"/>
        <item h="1" x="5"/>
        <item t="default"/>
      </items>
    </pivotField>
    <pivotField showAll="0">
      <items count="7">
        <item x="3"/>
        <item x="0"/>
        <item x="2"/>
        <item x="4"/>
        <item x="1"/>
        <item x="5"/>
        <item t="default"/>
      </items>
    </pivotField>
    <pivotField showAll="0"/>
    <pivotField showAll="0"/>
    <pivotField dataField="1" showAll="0"/>
    <pivotField showAll="0">
      <items count="14">
        <item x="4"/>
        <item x="9"/>
        <item x="6"/>
        <item x="2"/>
        <item x="0"/>
        <item x="5"/>
        <item x="8"/>
        <item x="10"/>
        <item x="11"/>
        <item x="1"/>
        <item x="3"/>
        <item x="7"/>
        <item x="12"/>
        <item t="default"/>
      </items>
    </pivotField>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8" baseField="0" baseItem="0"/>
  </dataFields>
  <formats count="1">
    <format dxfId="10">
      <pivotArea collapsedLevelsAreSubtotals="1" fieldPosition="0">
        <references count="1">
          <reference field="3" count="12">
            <x v="0"/>
            <x v="1"/>
            <x v="2"/>
            <x v="3"/>
            <x v="4"/>
            <x v="5"/>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380543-3BBC-4401-8540-3D5F3FBC669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24" firstHeaderRow="1" firstDataRow="1" firstDataCol="1"/>
  <pivotFields count="11">
    <pivotField showAll="0"/>
    <pivotField showAll="0"/>
    <pivotField axis="axisRow" showAll="0" sortType="descending">
      <items count="22">
        <item h="1" x="20"/>
        <item x="9"/>
        <item x="17"/>
        <item x="8"/>
        <item x="3"/>
        <item x="15"/>
        <item x="12"/>
        <item x="13"/>
        <item x="6"/>
        <item x="0"/>
        <item x="10"/>
        <item x="7"/>
        <item x="1"/>
        <item x="18"/>
        <item x="14"/>
        <item x="4"/>
        <item x="11"/>
        <item x="2"/>
        <item x="16"/>
        <item x="19"/>
        <item x="5"/>
        <item t="default"/>
      </items>
      <autoSortScope>
        <pivotArea dataOnly="0" outline="0" fieldPosition="0">
          <references count="1">
            <reference field="4294967294" count="1" selected="0">
              <x v="0"/>
            </reference>
          </references>
        </pivotArea>
      </autoSortScope>
    </pivotField>
    <pivotField showAll="0">
      <items count="14">
        <item x="0"/>
        <item x="3"/>
        <item x="4"/>
        <item x="10"/>
        <item x="6"/>
        <item x="8"/>
        <item x="2"/>
        <item x="5"/>
        <item x="9"/>
        <item x="7"/>
        <item x="11"/>
        <item x="1"/>
        <item h="1" x="12"/>
        <item t="default"/>
      </items>
    </pivotField>
    <pivotField showAll="0">
      <items count="7">
        <item x="3"/>
        <item x="0"/>
        <item x="1"/>
        <item x="2"/>
        <item x="4"/>
        <item h="1" x="5"/>
        <item t="default"/>
      </items>
    </pivotField>
    <pivotField showAll="0">
      <items count="7">
        <item x="3"/>
        <item x="0"/>
        <item x="2"/>
        <item x="4"/>
        <item x="1"/>
        <item x="5"/>
        <item t="default"/>
      </items>
    </pivotField>
    <pivotField showAll="0"/>
    <pivotField showAll="0"/>
    <pivotField dataField="1" showAll="0"/>
    <pivotField showAll="0">
      <items count="14">
        <item x="4"/>
        <item x="9"/>
        <item x="6"/>
        <item x="2"/>
        <item x="0"/>
        <item x="5"/>
        <item x="8"/>
        <item x="10"/>
        <item x="11"/>
        <item x="1"/>
        <item x="3"/>
        <item x="7"/>
        <item x="12"/>
        <item t="default"/>
      </items>
    </pivotField>
    <pivotField showAll="0"/>
  </pivotFields>
  <rowFields count="1">
    <field x="2"/>
  </rowFields>
  <rowItems count="21">
    <i>
      <x v="6"/>
    </i>
    <i>
      <x v="7"/>
    </i>
    <i>
      <x v="13"/>
    </i>
    <i>
      <x v="17"/>
    </i>
    <i>
      <x v="14"/>
    </i>
    <i>
      <x v="8"/>
    </i>
    <i>
      <x v="15"/>
    </i>
    <i>
      <x v="16"/>
    </i>
    <i>
      <x v="2"/>
    </i>
    <i>
      <x v="1"/>
    </i>
    <i>
      <x v="10"/>
    </i>
    <i>
      <x v="11"/>
    </i>
    <i>
      <x v="9"/>
    </i>
    <i>
      <x v="5"/>
    </i>
    <i>
      <x v="12"/>
    </i>
    <i>
      <x v="3"/>
    </i>
    <i>
      <x v="19"/>
    </i>
    <i>
      <x v="20"/>
    </i>
    <i>
      <x v="18"/>
    </i>
    <i>
      <x v="4"/>
    </i>
    <i t="grand">
      <x/>
    </i>
  </rowItems>
  <colItems count="1">
    <i/>
  </colItems>
  <dataFields count="1">
    <dataField name="Sum of Sales" fld="8" baseField="0" baseItem="0"/>
  </dataFields>
  <formats count="1">
    <format dxfId="11">
      <pivotArea collapsedLevelsAreSubtotals="1" fieldPosition="0">
        <references count="1">
          <reference field="2" count="20">
            <x v="1"/>
            <x v="2"/>
            <x v="3"/>
            <x v="4"/>
            <x v="5"/>
            <x v="6"/>
            <x v="7"/>
            <x v="8"/>
            <x v="9"/>
            <x v="10"/>
            <x v="11"/>
            <x v="12"/>
            <x v="13"/>
            <x v="14"/>
            <x v="15"/>
            <x v="16"/>
            <x v="17"/>
            <x v="18"/>
            <x v="19"/>
            <x v="20"/>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B88E42-E267-4B63-BBAC-96D757F44AA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13:E19" firstHeaderRow="1" firstDataRow="1" firstDataCol="1"/>
  <pivotFields count="11">
    <pivotField showAll="0"/>
    <pivotField showAll="0"/>
    <pivotField showAll="0"/>
    <pivotField showAll="0">
      <items count="14">
        <item x="0"/>
        <item x="3"/>
        <item x="4"/>
        <item x="10"/>
        <item x="6"/>
        <item x="8"/>
        <item x="2"/>
        <item x="5"/>
        <item x="9"/>
        <item x="7"/>
        <item x="11"/>
        <item x="1"/>
        <item h="1" x="12"/>
        <item t="default"/>
      </items>
    </pivotField>
    <pivotField showAll="0">
      <items count="7">
        <item x="3"/>
        <item x="0"/>
        <item x="1"/>
        <item x="2"/>
        <item x="4"/>
        <item h="1" x="5"/>
        <item t="default"/>
      </items>
    </pivotField>
    <pivotField axis="axisRow" showAll="0">
      <items count="7">
        <item x="3"/>
        <item x="0"/>
        <item x="2"/>
        <item x="4"/>
        <item x="1"/>
        <item h="1" x="5"/>
        <item t="default"/>
      </items>
    </pivotField>
    <pivotField showAll="0"/>
    <pivotField showAll="0"/>
    <pivotField dataField="1" showAll="0"/>
    <pivotField showAll="0">
      <items count="14">
        <item x="4"/>
        <item x="9"/>
        <item x="6"/>
        <item x="2"/>
        <item x="0"/>
        <item x="5"/>
        <item x="8"/>
        <item x="10"/>
        <item x="11"/>
        <item x="1"/>
        <item x="3"/>
        <item x="7"/>
        <item x="12"/>
        <item t="default"/>
      </items>
    </pivotField>
    <pivotField showAll="0"/>
  </pivotFields>
  <rowFields count="1">
    <field x="5"/>
  </rowFields>
  <rowItems count="6">
    <i>
      <x/>
    </i>
    <i>
      <x v="1"/>
    </i>
    <i>
      <x v="2"/>
    </i>
    <i>
      <x v="3"/>
    </i>
    <i>
      <x v="4"/>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6CA3F8-9BE3-4E44-AD89-DDE302AA127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6" firstHeaderRow="1" firstDataRow="1" firstDataCol="1"/>
  <pivotFields count="11">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ascending">
      <items count="14">
        <item x="0"/>
        <item x="3"/>
        <item x="4"/>
        <item x="10"/>
        <item x="6"/>
        <item x="8"/>
        <item x="2"/>
        <item x="5"/>
        <item x="9"/>
        <item x="7"/>
        <item x="11"/>
        <item x="1"/>
        <item h="1" x="12"/>
        <item t="default"/>
      </items>
      <autoSortScope>
        <pivotArea dataOnly="0" outline="0" fieldPosition="0">
          <references count="1">
            <reference field="4294967294" count="1" selected="0">
              <x v="0"/>
            </reference>
          </references>
        </pivotArea>
      </autoSortScope>
    </pivotField>
    <pivotField showAll="0">
      <items count="7">
        <item x="3"/>
        <item x="0"/>
        <item x="1"/>
        <item x="2"/>
        <item x="4"/>
        <item h="1" x="5"/>
        <item t="default"/>
      </items>
    </pivotField>
    <pivotField showAll="0">
      <items count="7">
        <item x="3"/>
        <item x="0"/>
        <item x="2"/>
        <item x="4"/>
        <item x="1"/>
        <item x="5"/>
        <item t="default"/>
      </items>
    </pivotField>
    <pivotField showAll="0"/>
    <pivotField showAll="0"/>
    <pivotField dataField="1" showAll="0"/>
    <pivotField showAll="0">
      <items count="14">
        <item x="4"/>
        <item x="9"/>
        <item x="6"/>
        <item x="2"/>
        <item x="0"/>
        <item x="5"/>
        <item x="8"/>
        <item x="10"/>
        <item x="11"/>
        <item x="1"/>
        <item x="3"/>
        <item x="7"/>
        <item x="12"/>
        <item t="default"/>
      </items>
    </pivotField>
    <pivotField showAll="0"/>
  </pivotFields>
  <rowFields count="1">
    <field x="3"/>
  </rowFields>
  <rowItems count="13">
    <i>
      <x v="8"/>
    </i>
    <i>
      <x v="7"/>
    </i>
    <i>
      <x v="3"/>
    </i>
    <i>
      <x/>
    </i>
    <i>
      <x v="2"/>
    </i>
    <i>
      <x v="9"/>
    </i>
    <i>
      <x v="1"/>
    </i>
    <i>
      <x v="10"/>
    </i>
    <i>
      <x v="5"/>
    </i>
    <i>
      <x v="11"/>
    </i>
    <i>
      <x v="6"/>
    </i>
    <i>
      <x v="4"/>
    </i>
    <i t="grand">
      <x/>
    </i>
  </rowItems>
  <colItems count="1">
    <i/>
  </colItems>
  <dataFields count="1">
    <dataField name="Sum of Sales" fld="8" baseField="0" baseItem="0"/>
  </dataFields>
  <formats count="1">
    <format dxfId="12">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ECBB58-9F14-46EE-B267-ACBB25C4692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9" firstHeaderRow="1" firstDataRow="1" firstDataCol="1"/>
  <pivotFields count="11">
    <pivotField showAll="0"/>
    <pivotField numFmtId="164" showAll="0"/>
    <pivotField showAll="0"/>
    <pivotField showAll="0">
      <items count="13">
        <item x="0"/>
        <item x="3"/>
        <item x="4"/>
        <item x="10"/>
        <item x="6"/>
        <item x="8"/>
        <item x="2"/>
        <item x="5"/>
        <item x="9"/>
        <item x="7"/>
        <item x="11"/>
        <item x="1"/>
        <item t="default"/>
      </items>
    </pivotField>
    <pivotField axis="axisRow" showAll="0">
      <items count="6">
        <item x="3"/>
        <item x="0"/>
        <item x="1"/>
        <item x="2"/>
        <item x="4"/>
        <item t="default"/>
      </items>
    </pivotField>
    <pivotField showAll="0">
      <items count="6">
        <item x="3"/>
        <item x="0"/>
        <item x="2"/>
        <item x="4"/>
        <item x="1"/>
        <item t="default"/>
      </items>
    </pivotField>
    <pivotField showAll="0"/>
    <pivotField showAll="0"/>
    <pivotField dataField="1" showAll="0"/>
    <pivotField showAll="0">
      <items count="13">
        <item x="4"/>
        <item x="9"/>
        <item x="6"/>
        <item x="2"/>
        <item x="0"/>
        <item x="5"/>
        <item x="8"/>
        <item x="10"/>
        <item x="11"/>
        <item x="1"/>
        <item x="3"/>
        <item x="7"/>
        <item t="default"/>
      </items>
    </pivotField>
    <pivotField showAll="0"/>
  </pivotFields>
  <rowFields count="1">
    <field x="4"/>
  </rowFields>
  <rowItems count="6">
    <i>
      <x/>
    </i>
    <i>
      <x v="1"/>
    </i>
    <i>
      <x v="2"/>
    </i>
    <i>
      <x v="3"/>
    </i>
    <i>
      <x v="4"/>
    </i>
    <i t="grand">
      <x/>
    </i>
  </rowItems>
  <colItems count="1">
    <i/>
  </colItems>
  <dataFields count="1">
    <dataField name="Sum of Sales" fld="8" baseField="0" baseItem="0"/>
  </dataFields>
  <formats count="1">
    <format dxfId="3">
      <pivotArea collapsedLevelsAreSubtotals="1" fieldPosition="0">
        <references count="1">
          <reference field="4" count="0"/>
        </references>
      </pivotArea>
    </format>
  </formats>
  <chartFormats count="12">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4" count="1" selected="0">
            <x v="0"/>
          </reference>
        </references>
      </pivotArea>
    </chartFormat>
    <chartFormat chart="5" format="9">
      <pivotArea type="data" outline="0" fieldPosition="0">
        <references count="2">
          <reference field="4294967294" count="1" selected="0">
            <x v="0"/>
          </reference>
          <reference field="4" count="1" selected="0">
            <x v="1"/>
          </reference>
        </references>
      </pivotArea>
    </chartFormat>
    <chartFormat chart="5" format="10">
      <pivotArea type="data" outline="0" fieldPosition="0">
        <references count="2">
          <reference field="4294967294" count="1" selected="0">
            <x v="0"/>
          </reference>
          <reference field="4" count="1" selected="0">
            <x v="2"/>
          </reference>
        </references>
      </pivotArea>
    </chartFormat>
    <chartFormat chart="5" format="11">
      <pivotArea type="data" outline="0" fieldPosition="0">
        <references count="2">
          <reference field="4294967294" count="1" selected="0">
            <x v="0"/>
          </reference>
          <reference field="4" count="1" selected="0">
            <x v="3"/>
          </reference>
        </references>
      </pivotArea>
    </chartFormat>
    <chartFormat chart="5" format="12">
      <pivotArea type="data" outline="0" fieldPosition="0">
        <references count="2">
          <reference field="4294967294" count="1" selected="0">
            <x v="0"/>
          </reference>
          <reference field="4" count="1" selected="0">
            <x v="4"/>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2"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087E50-F415-4713-9815-B981D278418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B27" firstHeaderRow="1" firstDataRow="1" firstDataCol="0"/>
  <pivotFields count="11">
    <pivotField showAll="0"/>
    <pivotField numFmtId="164" showAll="0"/>
    <pivotField showAll="0"/>
    <pivotField showAll="0">
      <items count="13">
        <item x="0"/>
        <item x="3"/>
        <item x="4"/>
        <item x="10"/>
        <item x="6"/>
        <item x="8"/>
        <item x="2"/>
        <item x="5"/>
        <item x="9"/>
        <item x="7"/>
        <item x="11"/>
        <item x="1"/>
        <item t="default"/>
      </items>
    </pivotField>
    <pivotField showAll="0">
      <items count="6">
        <item x="3"/>
        <item x="0"/>
        <item x="1"/>
        <item x="2"/>
        <item x="4"/>
        <item t="default"/>
      </items>
    </pivotField>
    <pivotField showAll="0">
      <items count="6">
        <item x="3"/>
        <item x="0"/>
        <item x="2"/>
        <item x="4"/>
        <item x="1"/>
        <item t="default"/>
      </items>
    </pivotField>
    <pivotField showAll="0"/>
    <pivotField showAll="0"/>
    <pivotField dataField="1" showAll="0"/>
    <pivotField showAll="0">
      <items count="13">
        <item x="4"/>
        <item x="9"/>
        <item x="6"/>
        <item x="2"/>
        <item x="0"/>
        <item x="5"/>
        <item x="8"/>
        <item x="10"/>
        <item x="11"/>
        <item x="1"/>
        <item x="3"/>
        <item x="7"/>
        <item t="default"/>
      </items>
    </pivotField>
    <pivotField showAll="0"/>
  </pivotFields>
  <rowItems count="1">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D91D1D-D506-48AD-B2DA-71102CF1A7B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9" firstHeaderRow="1" firstDataRow="1" firstDataCol="1"/>
  <pivotFields count="11">
    <pivotField showAll="0"/>
    <pivotField numFmtId="164" showAll="0"/>
    <pivotField showAll="0"/>
    <pivotField showAll="0">
      <items count="13">
        <item x="0"/>
        <item x="3"/>
        <item x="4"/>
        <item x="10"/>
        <item x="6"/>
        <item x="8"/>
        <item x="2"/>
        <item x="5"/>
        <item x="9"/>
        <item x="7"/>
        <item x="11"/>
        <item x="1"/>
        <item t="default"/>
      </items>
    </pivotField>
    <pivotField showAll="0">
      <items count="6">
        <item x="3"/>
        <item x="0"/>
        <item x="1"/>
        <item x="2"/>
        <item x="4"/>
        <item t="default"/>
      </items>
    </pivotField>
    <pivotField axis="axisRow" showAll="0" sortType="a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3">
        <item x="4"/>
        <item x="9"/>
        <item x="6"/>
        <item x="2"/>
        <item x="0"/>
        <item x="5"/>
        <item x="8"/>
        <item x="10"/>
        <item x="11"/>
        <item x="1"/>
        <item x="3"/>
        <item x="7"/>
        <item t="default"/>
      </items>
    </pivotField>
    <pivotField showAll="0"/>
  </pivotFields>
  <rowFields count="1">
    <field x="5"/>
  </rowFields>
  <rowItems count="6">
    <i>
      <x v="3"/>
    </i>
    <i>
      <x/>
    </i>
    <i>
      <x v="2"/>
    </i>
    <i>
      <x v="4"/>
    </i>
    <i>
      <x v="1"/>
    </i>
    <i t="grand">
      <x/>
    </i>
  </rowItems>
  <colItems count="1">
    <i/>
  </colItems>
  <dataFields count="1">
    <dataField name="Sum of Sales" fld="8" baseField="0" baseItem="0"/>
  </dataFields>
  <formats count="1">
    <format dxfId="4">
      <pivotArea collapsedLevelsAreSubtotals="1" fieldPosition="0">
        <references count="1">
          <reference field="5" count="0"/>
        </references>
      </pivotArea>
    </format>
  </format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59C3E3-6F3D-4A99-B656-823BEBFB821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F15:G26" firstHeaderRow="1" firstDataRow="1" firstDataCol="1"/>
  <pivotFields count="11">
    <pivotField showAll="0"/>
    <pivotField numFmtId="164" showAll="0"/>
    <pivotField axis="axisRow" showAll="0" measureFilter="1" sortType="ascending">
      <items count="21">
        <item x="9"/>
        <item x="17"/>
        <item x="8"/>
        <item x="3"/>
        <item x="15"/>
        <item x="12"/>
        <item x="13"/>
        <item x="6"/>
        <item x="0"/>
        <item x="10"/>
        <item x="7"/>
        <item x="1"/>
        <item x="18"/>
        <item x="14"/>
        <item x="4"/>
        <item x="11"/>
        <item x="2"/>
        <item x="16"/>
        <item x="19"/>
        <item x="5"/>
        <item t="default"/>
      </items>
      <autoSortScope>
        <pivotArea dataOnly="0" outline="0" fieldPosition="0">
          <references count="1">
            <reference field="4294967294" count="1" selected="0">
              <x v="0"/>
            </reference>
          </references>
        </pivotArea>
      </autoSortScope>
    </pivotField>
    <pivotField showAll="0">
      <items count="13">
        <item x="0"/>
        <item x="3"/>
        <item x="4"/>
        <item x="10"/>
        <item x="6"/>
        <item x="8"/>
        <item x="2"/>
        <item x="5"/>
        <item x="9"/>
        <item x="7"/>
        <item x="11"/>
        <item x="1"/>
        <item t="default"/>
      </items>
    </pivotField>
    <pivotField showAll="0">
      <items count="6">
        <item x="3"/>
        <item x="0"/>
        <item x="1"/>
        <item x="2"/>
        <item x="4"/>
        <item t="default"/>
      </items>
    </pivotField>
    <pivotField showAll="0">
      <items count="6">
        <item x="3"/>
        <item x="0"/>
        <item x="2"/>
        <item x="4"/>
        <item x="1"/>
        <item t="default"/>
      </items>
    </pivotField>
    <pivotField showAll="0"/>
    <pivotField showAll="0"/>
    <pivotField dataField="1" showAll="0">
      <items count="495">
        <item x="474"/>
        <item x="375"/>
        <item x="186"/>
        <item x="373"/>
        <item x="440"/>
        <item x="118"/>
        <item x="13"/>
        <item x="168"/>
        <item x="441"/>
        <item x="469"/>
        <item x="450"/>
        <item x="359"/>
        <item x="150"/>
        <item x="115"/>
        <item x="119"/>
        <item x="395"/>
        <item x="280"/>
        <item x="454"/>
        <item x="205"/>
        <item x="307"/>
        <item x="167"/>
        <item x="162"/>
        <item x="475"/>
        <item x="64"/>
        <item x="312"/>
        <item x="183"/>
        <item x="444"/>
        <item x="29"/>
        <item x="63"/>
        <item x="174"/>
        <item x="385"/>
        <item x="363"/>
        <item x="111"/>
        <item x="388"/>
        <item x="197"/>
        <item x="18"/>
        <item x="149"/>
        <item x="316"/>
        <item x="137"/>
        <item x="37"/>
        <item x="74"/>
        <item x="288"/>
        <item x="295"/>
        <item x="408"/>
        <item x="135"/>
        <item x="116"/>
        <item x="263"/>
        <item x="12"/>
        <item x="368"/>
        <item x="127"/>
        <item x="306"/>
        <item x="223"/>
        <item x="198"/>
        <item x="0"/>
        <item x="108"/>
        <item x="141"/>
        <item x="177"/>
        <item x="219"/>
        <item x="87"/>
        <item x="238"/>
        <item x="461"/>
        <item x="452"/>
        <item x="199"/>
        <item x="59"/>
        <item x="28"/>
        <item x="271"/>
        <item x="222"/>
        <item x="5"/>
        <item x="284"/>
        <item x="17"/>
        <item x="38"/>
        <item x="265"/>
        <item x="125"/>
        <item x="176"/>
        <item x="467"/>
        <item x="298"/>
        <item x="344"/>
        <item x="161"/>
        <item x="334"/>
        <item x="489"/>
        <item x="309"/>
        <item x="110"/>
        <item x="71"/>
        <item x="397"/>
        <item x="99"/>
        <item x="439"/>
        <item x="35"/>
        <item x="445"/>
        <item x="80"/>
        <item x="15"/>
        <item x="328"/>
        <item x="383"/>
        <item x="460"/>
        <item x="468"/>
        <item x="275"/>
        <item x="327"/>
        <item x="389"/>
        <item x="255"/>
        <item x="134"/>
        <item x="147"/>
        <item x="392"/>
        <item x="482"/>
        <item x="170"/>
        <item x="443"/>
        <item x="218"/>
        <item x="68"/>
        <item x="348"/>
        <item x="412"/>
        <item x="202"/>
        <item x="470"/>
        <item x="323"/>
        <item x="369"/>
        <item x="472"/>
        <item x="417"/>
        <item x="98"/>
        <item x="73"/>
        <item x="320"/>
        <item x="483"/>
        <item x="476"/>
        <item x="201"/>
        <item x="442"/>
        <item x="26"/>
        <item x="227"/>
        <item x="250"/>
        <item x="44"/>
        <item x="106"/>
        <item x="46"/>
        <item x="184"/>
        <item x="19"/>
        <item x="257"/>
        <item x="301"/>
        <item x="370"/>
        <item x="23"/>
        <item x="81"/>
        <item x="268"/>
        <item x="11"/>
        <item x="291"/>
        <item x="240"/>
        <item x="113"/>
        <item x="406"/>
        <item x="235"/>
        <item x="285"/>
        <item x="216"/>
        <item x="158"/>
        <item x="360"/>
        <item x="333"/>
        <item x="398"/>
        <item x="386"/>
        <item x="269"/>
        <item x="239"/>
        <item x="282"/>
        <item x="314"/>
        <item x="146"/>
        <item x="387"/>
        <item x="128"/>
        <item x="446"/>
        <item x="339"/>
        <item x="192"/>
        <item x="455"/>
        <item x="493"/>
        <item x="185"/>
        <item x="473"/>
        <item x="221"/>
        <item x="279"/>
        <item x="248"/>
        <item x="82"/>
        <item x="361"/>
        <item x="3"/>
        <item x="326"/>
        <item x="47"/>
        <item x="57"/>
        <item x="151"/>
        <item x="490"/>
        <item x="194"/>
        <item x="117"/>
        <item x="290"/>
        <item x="175"/>
        <item x="159"/>
        <item x="36"/>
        <item x="30"/>
        <item x="160"/>
        <item x="382"/>
        <item x="270"/>
        <item x="78"/>
        <item x="308"/>
        <item x="430"/>
        <item x="237"/>
        <item x="164"/>
        <item x="22"/>
        <item x="132"/>
        <item x="25"/>
        <item x="396"/>
        <item x="178"/>
        <item x="346"/>
        <item x="409"/>
        <item x="405"/>
        <item x="102"/>
        <item x="247"/>
        <item x="215"/>
        <item x="4"/>
        <item x="100"/>
        <item x="85"/>
        <item x="278"/>
        <item x="296"/>
        <item x="281"/>
        <item x="485"/>
        <item x="420"/>
        <item x="354"/>
        <item x="179"/>
        <item x="163"/>
        <item x="336"/>
        <item x="154"/>
        <item x="434"/>
        <item x="378"/>
        <item x="200"/>
        <item x="41"/>
        <item x="258"/>
        <item x="413"/>
        <item x="432"/>
        <item x="393"/>
        <item x="191"/>
        <item x="352"/>
        <item x="478"/>
        <item x="2"/>
        <item x="209"/>
        <item x="112"/>
        <item x="9"/>
        <item x="319"/>
        <item x="305"/>
        <item x="51"/>
        <item x="491"/>
        <item x="287"/>
        <item x="70"/>
        <item x="97"/>
        <item x="252"/>
        <item x="466"/>
        <item x="14"/>
        <item x="61"/>
        <item x="6"/>
        <item x="350"/>
        <item x="130"/>
        <item x="136"/>
        <item x="16"/>
        <item x="362"/>
        <item x="484"/>
        <item x="310"/>
        <item x="53"/>
        <item x="424"/>
        <item x="157"/>
        <item x="129"/>
        <item x="335"/>
        <item x="56"/>
        <item x="220"/>
        <item x="34"/>
        <item x="337"/>
        <item x="109"/>
        <item x="299"/>
        <item x="152"/>
        <item x="481"/>
        <item x="311"/>
        <item x="193"/>
        <item x="274"/>
        <item x="332"/>
        <item x="264"/>
        <item x="394"/>
        <item x="236"/>
        <item x="84"/>
        <item x="211"/>
        <item x="331"/>
        <item x="458"/>
        <item x="140"/>
        <item x="43"/>
        <item x="196"/>
        <item x="72"/>
        <item x="105"/>
        <item x="65"/>
        <item x="407"/>
        <item x="241"/>
        <item x="428"/>
        <item x="96"/>
        <item x="42"/>
        <item x="381"/>
        <item x="380"/>
        <item x="318"/>
        <item x="459"/>
        <item x="8"/>
        <item x="343"/>
        <item x="322"/>
        <item x="77"/>
        <item x="92"/>
        <item x="423"/>
        <item x="486"/>
        <item x="402"/>
        <item x="214"/>
        <item x="31"/>
        <item x="181"/>
        <item x="293"/>
        <item x="374"/>
        <item x="464"/>
        <item x="436"/>
        <item x="272"/>
        <item x="124"/>
        <item x="231"/>
        <item x="189"/>
        <item x="365"/>
        <item x="144"/>
        <item x="267"/>
        <item x="447"/>
        <item x="83"/>
        <item x="341"/>
        <item x="126"/>
        <item x="479"/>
        <item x="212"/>
        <item x="203"/>
        <item x="62"/>
        <item x="372"/>
        <item x="465"/>
        <item x="69"/>
        <item x="273"/>
        <item x="488"/>
        <item x="49"/>
        <item x="411"/>
        <item x="210"/>
        <item x="180"/>
        <item x="347"/>
        <item x="33"/>
        <item x="58"/>
        <item x="384"/>
        <item x="155"/>
        <item x="403"/>
        <item x="230"/>
        <item x="364"/>
        <item x="217"/>
        <item x="254"/>
        <item x="251"/>
        <item x="438"/>
        <item x="89"/>
        <item x="276"/>
        <item x="477"/>
        <item x="131"/>
        <item x="213"/>
        <item x="399"/>
        <item x="429"/>
        <item x="431"/>
        <item x="456"/>
        <item x="88"/>
        <item x="139"/>
        <item x="204"/>
        <item x="325"/>
        <item x="122"/>
        <item x="91"/>
        <item x="289"/>
        <item x="10"/>
        <item x="169"/>
        <item x="379"/>
        <item x="345"/>
        <item x="317"/>
        <item x="86"/>
        <item x="253"/>
        <item x="121"/>
        <item x="138"/>
        <item x="410"/>
        <item x="292"/>
        <item x="225"/>
        <item x="90"/>
        <item x="342"/>
        <item x="353"/>
        <item x="451"/>
        <item x="300"/>
        <item x="103"/>
        <item x="244"/>
        <item x="195"/>
        <item x="226"/>
        <item x="427"/>
        <item x="356"/>
        <item x="101"/>
        <item x="462"/>
        <item x="357"/>
        <item x="304"/>
        <item x="448"/>
        <item x="426"/>
        <item x="228"/>
        <item x="234"/>
        <item x="76"/>
        <item x="277"/>
        <item x="480"/>
        <item x="95"/>
        <item x="302"/>
        <item x="39"/>
        <item x="419"/>
        <item x="233"/>
        <item x="145"/>
        <item x="171"/>
        <item x="229"/>
        <item x="172"/>
        <item x="173"/>
        <item x="330"/>
        <item x="435"/>
        <item x="262"/>
        <item x="401"/>
        <item x="351"/>
        <item x="340"/>
        <item x="94"/>
        <item x="256"/>
        <item x="349"/>
        <item x="371"/>
        <item x="400"/>
        <item x="297"/>
        <item x="449"/>
        <item x="114"/>
        <item x="376"/>
        <item x="377"/>
        <item x="415"/>
        <item x="104"/>
        <item x="242"/>
        <item x="148"/>
        <item x="249"/>
        <item x="425"/>
        <item x="206"/>
        <item x="21"/>
        <item x="166"/>
        <item x="156"/>
        <item x="40"/>
        <item x="142"/>
        <item x="358"/>
        <item x="45"/>
        <item x="421"/>
        <item x="414"/>
        <item x="433"/>
        <item x="165"/>
        <item x="107"/>
        <item x="133"/>
        <item x="52"/>
        <item x="437"/>
        <item x="182"/>
        <item x="259"/>
        <item x="32"/>
        <item x="324"/>
        <item x="261"/>
        <item x="338"/>
        <item x="224"/>
        <item x="153"/>
        <item x="303"/>
        <item x="245"/>
        <item x="367"/>
        <item x="391"/>
        <item x="207"/>
        <item x="143"/>
        <item x="487"/>
        <item x="75"/>
        <item x="266"/>
        <item x="1"/>
        <item x="20"/>
        <item x="50"/>
        <item x="187"/>
        <item x="366"/>
        <item x="321"/>
        <item x="123"/>
        <item x="246"/>
        <item x="54"/>
        <item x="286"/>
        <item x="190"/>
        <item x="463"/>
        <item x="232"/>
        <item x="453"/>
        <item x="260"/>
        <item x="313"/>
        <item x="188"/>
        <item x="67"/>
        <item x="418"/>
        <item x="60"/>
        <item x="422"/>
        <item x="283"/>
        <item x="120"/>
        <item x="66"/>
        <item x="390"/>
        <item x="355"/>
        <item x="55"/>
        <item x="93"/>
        <item x="27"/>
        <item x="457"/>
        <item x="208"/>
        <item x="243"/>
        <item x="404"/>
        <item x="329"/>
        <item x="315"/>
        <item x="416"/>
        <item x="471"/>
        <item x="48"/>
        <item x="79"/>
        <item x="7"/>
        <item x="492"/>
        <item x="294"/>
        <item x="24"/>
        <item t="default"/>
      </items>
    </pivotField>
    <pivotField showAll="0">
      <items count="13">
        <item x="4"/>
        <item x="9"/>
        <item x="6"/>
        <item x="2"/>
        <item x="0"/>
        <item x="5"/>
        <item x="8"/>
        <item x="10"/>
        <item x="11"/>
        <item x="1"/>
        <item x="3"/>
        <item x="7"/>
        <item t="default"/>
      </items>
    </pivotField>
    <pivotField showAll="0"/>
  </pivotFields>
  <rowFields count="1">
    <field x="2"/>
  </rowFields>
  <rowItems count="11">
    <i>
      <x/>
    </i>
    <i>
      <x v="1"/>
    </i>
    <i>
      <x v="15"/>
    </i>
    <i>
      <x v="14"/>
    </i>
    <i>
      <x v="7"/>
    </i>
    <i>
      <x v="13"/>
    </i>
    <i>
      <x v="16"/>
    </i>
    <i>
      <x v="12"/>
    </i>
    <i>
      <x v="6"/>
    </i>
    <i>
      <x v="5"/>
    </i>
    <i t="grand">
      <x/>
    </i>
  </rowItems>
  <colItems count="1">
    <i/>
  </colItems>
  <dataFields count="1">
    <dataField name="Sum of Sales" fld="8"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44BCCC-5F83-4115-AB0B-DEAA2E19940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D11:E24" firstHeaderRow="1" firstDataRow="1" firstDataCol="1"/>
  <pivotFields count="11">
    <pivotField showAll="0"/>
    <pivotField numFmtId="164" showAll="0"/>
    <pivotField showAll="0"/>
    <pivotField showAll="0">
      <items count="13">
        <item x="0"/>
        <item x="3"/>
        <item x="4"/>
        <item x="10"/>
        <item x="6"/>
        <item x="8"/>
        <item x="2"/>
        <item x="5"/>
        <item x="9"/>
        <item x="7"/>
        <item x="11"/>
        <item x="1"/>
        <item t="default"/>
      </items>
    </pivotField>
    <pivotField showAll="0">
      <items count="6">
        <item x="3"/>
        <item x="0"/>
        <item x="1"/>
        <item x="2"/>
        <item x="4"/>
        <item t="default"/>
      </items>
    </pivotField>
    <pivotField showAll="0">
      <items count="6">
        <item x="3"/>
        <item x="0"/>
        <item x="2"/>
        <item x="4"/>
        <item x="1"/>
        <item t="default"/>
      </items>
    </pivotField>
    <pivotField showAll="0"/>
    <pivotField showAll="0"/>
    <pivotField dataField="1" showAll="0"/>
    <pivotField axis="axisRow" showAll="0">
      <items count="13">
        <item x="4"/>
        <item x="9"/>
        <item x="6"/>
        <item x="2"/>
        <item x="0"/>
        <item x="5"/>
        <item x="8"/>
        <item x="10"/>
        <item x="11"/>
        <item x="1"/>
        <item x="3"/>
        <item x="7"/>
        <item t="default"/>
      </items>
    </pivotField>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Sales" fld="8" baseField="0" baseItem="0"/>
  </dataFields>
  <formats count="1">
    <format dxfId="5">
      <pivotArea collapsedLevelsAreSubtotals="1" fieldPosition="0">
        <references count="1">
          <reference field="9" count="0"/>
        </references>
      </pivotArea>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FBD21B-DA25-418C-935A-C2302E448D0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1:B24" firstHeaderRow="1" firstDataRow="1" firstDataCol="1"/>
  <pivotFields count="11">
    <pivotField showAll="0"/>
    <pivotField numFmtId="164" showAll="0"/>
    <pivotField showAll="0"/>
    <pivotField axis="axisRow" showAll="0">
      <items count="13">
        <item x="0"/>
        <item x="3"/>
        <item x="4"/>
        <item x="10"/>
        <item x="6"/>
        <item x="8"/>
        <item x="2"/>
        <item x="5"/>
        <item x="9"/>
        <item x="7"/>
        <item x="11"/>
        <item x="1"/>
        <item t="default"/>
      </items>
    </pivotField>
    <pivotField showAll="0">
      <items count="6">
        <item x="3"/>
        <item x="0"/>
        <item x="1"/>
        <item x="2"/>
        <item x="4"/>
        <item t="default"/>
      </items>
    </pivotField>
    <pivotField showAll="0">
      <items count="6">
        <item x="3"/>
        <item x="0"/>
        <item x="2"/>
        <item x="4"/>
        <item x="1"/>
        <item t="default"/>
      </items>
    </pivotField>
    <pivotField showAll="0"/>
    <pivotField showAll="0"/>
    <pivotField dataField="1" showAll="0"/>
    <pivotField showAll="0">
      <items count="13">
        <item x="4"/>
        <item x="9"/>
        <item x="6"/>
        <item x="2"/>
        <item x="0"/>
        <item x="5"/>
        <item x="8"/>
        <item x="10"/>
        <item x="11"/>
        <item x="1"/>
        <item x="3"/>
        <item x="7"/>
        <item t="default"/>
      </items>
    </pivotField>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8" baseField="0" baseItem="0"/>
  </dataFields>
  <formats count="1">
    <format dxfId="6">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8643D7-CC98-461F-8350-383B379B4699}" sourceName="Category">
  <pivotTables>
    <pivotTable tabId="7" name="PivotTable6"/>
    <pivotTable tabId="7" name="PivotTable1"/>
    <pivotTable tabId="7" name="PivotTable12"/>
    <pivotTable tabId="7" name="PivotTable5"/>
    <pivotTable tabId="7" name="PivotTable8"/>
    <pivotTable tabId="7" name="PivotTable9"/>
  </pivotTables>
  <data>
    <tabular pivotCacheId="1784329477">
      <items count="6">
        <i x="3" s="1"/>
        <i x="0" s="1"/>
        <i x="1" s="1"/>
        <i x="2" s="1"/>
        <i x="4" s="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C1AB6768-FB9F-41C1-A066-18DB24796307}" sourceName="Product">
  <data>
    <tabular pivotCacheId="60164389">
      <items count="12">
        <i x="0" s="1"/>
        <i x="3" s="1"/>
        <i x="4" s="1"/>
        <i x="10" s="1"/>
        <i x="6" s="1"/>
        <i x="8" s="1"/>
        <i x="2" s="1"/>
        <i x="5" s="1"/>
        <i x="9" s="1"/>
        <i x="7" s="1"/>
        <i x="11"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BF4DEB6-F97C-46B6-8028-C379ACF63103}" sourceName="Category">
  <data>
    <tabular pivotCacheId="60164389">
      <items count="5">
        <i x="3" s="1"/>
        <i x="0" s="1"/>
        <i x="1"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F4084EF5-1230-4775-9022-37855367AAF4}" sourceName="Region">
  <data>
    <tabular pivotCacheId="60164389">
      <items count="5">
        <i x="3" s="1"/>
        <i x="0" s="1"/>
        <i x="2"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7018A9C-BAD6-49EA-B754-9B83B6AF2306}" sourceName="Month">
  <data>
    <tabular pivotCacheId="60164389">
      <items count="12">
        <i x="4" s="1"/>
        <i x="9" s="1"/>
        <i x="6" s="1"/>
        <i x="2" s="1"/>
        <i x="0" s="1"/>
        <i x="5" s="1"/>
        <i x="8" s="1"/>
        <i x="10" s="1"/>
        <i x="11" s="1"/>
        <i x="1" s="1"/>
        <i x="3"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6874F0D-DCF8-49AF-93A1-AAEE2A908990}" sourceName="Product">
  <pivotTables>
    <pivotTable tabId="13" name="PivotTable1"/>
    <pivotTable tabId="13" name="PivotTable2"/>
    <pivotTable tabId="13" name="PivotTable3"/>
    <pivotTable tabId="13" name="PivotTable4"/>
    <pivotTable tabId="13" name="PivotTable5"/>
    <pivotTable tabId="13" name="PivotTable6"/>
  </pivotTables>
  <data>
    <tabular pivotCacheId="2063184896">
      <items count="12">
        <i x="0" s="1"/>
        <i x="3" s="1"/>
        <i x="4" s="1"/>
        <i x="10" s="1"/>
        <i x="6" s="1"/>
        <i x="8" s="1"/>
        <i x="2" s="1"/>
        <i x="5" s="1"/>
        <i x="9" s="1"/>
        <i x="7" s="1"/>
        <i x="11"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117FA176-DEB9-4B30-AB88-C7C483FC3659}" sourceName="Category">
  <pivotTables>
    <pivotTable tabId="13" name="PivotTable1"/>
    <pivotTable tabId="13" name="PivotTable2"/>
    <pivotTable tabId="13" name="PivotTable3"/>
    <pivotTable tabId="13" name="PivotTable4"/>
    <pivotTable tabId="13" name="PivotTable5"/>
    <pivotTable tabId="13" name="PivotTable6"/>
  </pivotTables>
  <data>
    <tabular pivotCacheId="2063184896">
      <items count="5">
        <i x="3" s="1"/>
        <i x="0" s="1"/>
        <i x="1" s="1"/>
        <i x="2"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F5FB44E-0DDE-4C1E-9048-4868F40F61F2}" sourceName="Region">
  <pivotTables>
    <pivotTable tabId="13" name="PivotTable1"/>
    <pivotTable tabId="13" name="PivotTable2"/>
    <pivotTable tabId="13" name="PivotTable3"/>
    <pivotTable tabId="13" name="PivotTable4"/>
    <pivotTable tabId="13" name="PivotTable5"/>
    <pivotTable tabId="13" name="PivotTable6"/>
  </pivotTables>
  <data>
    <tabular pivotCacheId="2063184896">
      <items count="5">
        <i x="3" s="1"/>
        <i x="0" s="1"/>
        <i x="2" s="1"/>
        <i x="4"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97BBED0-CFC3-4276-9533-4601B90B786F}" sourceName="Month">
  <pivotTables>
    <pivotTable tabId="13" name="PivotTable1"/>
    <pivotTable tabId="13" name="PivotTable2"/>
    <pivotTable tabId="13" name="PivotTable3"/>
    <pivotTable tabId="13" name="PivotTable4"/>
    <pivotTable tabId="13" name="PivotTable5"/>
    <pivotTable tabId="13" name="PivotTable6"/>
  </pivotTables>
  <data>
    <tabular pivotCacheId="2063184896">
      <items count="12">
        <i x="4" s="1"/>
        <i x="9" s="1"/>
        <i x="6" s="1"/>
        <i x="2" s="1"/>
        <i x="0" s="1"/>
        <i x="5" s="1"/>
        <i x="8" s="1"/>
        <i x="10" s="1"/>
        <i x="11" s="1"/>
        <i x="1"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869AA15-0B4E-4CB4-A4C5-F32AE3FDF487}" cache="Slicer_Category" caption="Category" startItem="2" rowHeight="241300"/>
  <slicer name="Product" xr10:uid="{1C7121FE-A3EB-482D-AA73-AEFBE3413714}" cache="Slicer_Product1" caption="Product" rowHeight="241300"/>
  <slicer name="Category 2" xr10:uid="{5F914C02-61CE-43F7-AA31-3CE4E4A9D6DD}" cache="Slicer_Category1" caption="Category" rowHeight="241300"/>
  <slicer name="Region 1" xr10:uid="{76EE99E6-B490-458A-8E31-722026D2B6F3}" cache="Slicer_Region2" caption="Region" rowHeight="241300"/>
  <slicer name="Month" xr10:uid="{C4E4F798-4C76-4117-B646-E1D5046B19DE}" cache="Slicer_Month1"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F7639F7E-D10E-45DF-A6EB-D376EE4E47CE}" cache="Slicer_Product" caption="Product" columnCount="2" style="SlicerStyleOther2" rowHeight="274320"/>
  <slicer name="Category 3" xr10:uid="{B68F0925-EE90-4378-B2FB-376390A38D9E}" cache="Slicer_Category2" caption="Category" style="SlicerStyleOther2" rowHeight="274320"/>
  <slicer name="Region 4" xr10:uid="{C379623A-755E-44D1-85F3-4740366A753D}" cache="Slicer_Region1" caption="Region" style="SlicerStyleOther2" rowHeight="274320"/>
  <slicer name="Month 3" xr10:uid="{825C7B57-B47E-4770-83CA-29B654B39D55}" cache="Slicer_Month" caption="Month" columnCount="2" style="SlicerStyleOther2"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AA2C76DA-2F68-4142-AF84-1932543BFAA9}" cache="Slicer_Product" caption="Product" rowHeight="241300"/>
  <slicer name="Category 1" xr10:uid="{A9716790-96AF-4582-990E-B8454C129DBF}" cache="Slicer_Category2" caption="Category" rowHeight="241300"/>
  <slicer name="Region 3" xr10:uid="{972787D6-2207-4438-88DD-000E08874635}" cache="Slicer_Region1" caption="Region" rowHeight="241300"/>
  <slicer name="Month 2" xr10:uid="{3359F60D-B424-4159-BC7D-2B665F43B63C}" cache="Slicer_Month" caption="Month" startItem="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C7C6E0-082B-47CA-9CE2-DE84F387E1A1}" name="Table3" displayName="Table3" ref="A1:K501" headerRowDxfId="2">
  <autoFilter ref="A1:K501" xr:uid="{00000000-0001-0000-0000-000000000000}"/>
  <tableColumns count="11">
    <tableColumn id="1" xr3:uid="{F6EADD28-D904-40FA-87E8-07D7CB8E280C}" name="Order ID" totalsRowLabel="Total"/>
    <tableColumn id="2" xr3:uid="{E475EE0C-017B-45D2-B3BA-225A3EDDECDE}" name="Order Date" dataDxfId="1"/>
    <tableColumn id="3" xr3:uid="{8CFD051F-A6FD-4ED8-97AB-56F7E6F7E873}" name="Customer Name"/>
    <tableColumn id="4" xr3:uid="{388A51D2-CD07-425E-85E4-F7DBCF7CB074}" name="Product"/>
    <tableColumn id="5" xr3:uid="{B4255EA0-3BDF-43A0-AF5B-143F5CF11931}" name="Category"/>
    <tableColumn id="6" xr3:uid="{5B711927-71C9-4350-9145-B71137C3C935}" name="Region"/>
    <tableColumn id="7" xr3:uid="{B3909145-27DE-473C-84AE-3C16E2FF51CD}" name="Quantity"/>
    <tableColumn id="8" xr3:uid="{CF03F6A5-A498-4DFA-A086-16EB0118D3AA}" name="Unit Price"/>
    <tableColumn id="9" xr3:uid="{B0AA6E5E-5DA9-4E1B-9B84-514EBF069429}" name="Sales"/>
    <tableColumn id="10" xr3:uid="{2795E31F-69BF-45D2-A164-A135E28C1604}" name="Month" dataDxfId="0">
      <calculatedColumnFormula>TEXT(B2,"mmm")</calculatedColumnFormula>
    </tableColumn>
    <tableColumn id="11" xr3:uid="{A10DCE2D-E20E-49A3-AFF0-05750D0DBD3A}" name="Calculate Sales" totalsRowFunction="sum">
      <calculatedColumnFormula>G2*H2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10.xml"/><Relationship Id="rId7"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97AC-A888-44B0-9C3C-FEA154A0BDE5}">
  <dimension ref="A3:Q24"/>
  <sheetViews>
    <sheetView topLeftCell="C2" workbookViewId="0">
      <selection activeCell="F11" sqref="F11"/>
    </sheetView>
  </sheetViews>
  <sheetFormatPr defaultRowHeight="14.5" x14ac:dyDescent="0.35"/>
  <cols>
    <col min="1" max="1" width="12.36328125" bestFit="1" customWidth="1"/>
    <col min="2" max="2" width="11.26953125" bestFit="1" customWidth="1"/>
    <col min="4" max="4" width="12.36328125" bestFit="1" customWidth="1"/>
    <col min="5" max="5" width="11.26953125" bestFit="1" customWidth="1"/>
    <col min="7" max="7" width="12.36328125" bestFit="1" customWidth="1"/>
    <col min="8" max="8" width="11.26953125" bestFit="1" customWidth="1"/>
    <col min="10" max="10" width="12.36328125" bestFit="1" customWidth="1"/>
    <col min="11" max="11" width="11.26953125" bestFit="1" customWidth="1"/>
    <col min="13" max="13" width="12.36328125" bestFit="1" customWidth="1"/>
    <col min="14" max="14" width="11.26953125" bestFit="1" customWidth="1"/>
    <col min="16" max="16" width="12.36328125" bestFit="1" customWidth="1"/>
    <col min="17" max="17" width="11.26953125" bestFit="1" customWidth="1"/>
  </cols>
  <sheetData>
    <row r="3" spans="1:17" x14ac:dyDescent="0.35">
      <c r="A3" s="7" t="s">
        <v>553</v>
      </c>
      <c r="B3" t="s">
        <v>555</v>
      </c>
      <c r="D3" s="7" t="s">
        <v>553</v>
      </c>
      <c r="E3" t="s">
        <v>555</v>
      </c>
      <c r="G3" s="7" t="s">
        <v>553</v>
      </c>
      <c r="H3" t="s">
        <v>555</v>
      </c>
      <c r="J3" s="7" t="s">
        <v>553</v>
      </c>
      <c r="K3" t="s">
        <v>555</v>
      </c>
      <c r="M3" s="7" t="s">
        <v>553</v>
      </c>
      <c r="N3" t="s">
        <v>555</v>
      </c>
      <c r="P3" s="7" t="s">
        <v>553</v>
      </c>
      <c r="Q3" t="s">
        <v>555</v>
      </c>
    </row>
    <row r="4" spans="1:17" x14ac:dyDescent="0.35">
      <c r="A4" s="3" t="s">
        <v>11</v>
      </c>
      <c r="B4" s="8">
        <v>268586</v>
      </c>
      <c r="D4" s="3" t="s">
        <v>29</v>
      </c>
      <c r="E4" s="8">
        <v>760021</v>
      </c>
      <c r="G4" s="3" t="s">
        <v>556</v>
      </c>
      <c r="H4" s="8">
        <v>1686496</v>
      </c>
      <c r="J4" s="3" t="s">
        <v>62</v>
      </c>
      <c r="K4" s="8">
        <v>1917906</v>
      </c>
      <c r="M4" s="3" t="s">
        <v>50</v>
      </c>
      <c r="N4" s="8">
        <v>30436</v>
      </c>
      <c r="P4" s="3" t="s">
        <v>36</v>
      </c>
      <c r="Q4" s="8">
        <v>3612981</v>
      </c>
    </row>
    <row r="5" spans="1:17" x14ac:dyDescent="0.35">
      <c r="A5" s="3" t="s">
        <v>23</v>
      </c>
      <c r="B5" s="8">
        <v>1076957</v>
      </c>
      <c r="D5" s="3" t="s">
        <v>12</v>
      </c>
      <c r="E5" s="8">
        <v>268586</v>
      </c>
      <c r="G5" s="3" t="s">
        <v>557</v>
      </c>
      <c r="H5" s="8">
        <v>1107503</v>
      </c>
      <c r="J5" s="3" t="s">
        <v>64</v>
      </c>
      <c r="K5" s="8">
        <v>1531999</v>
      </c>
      <c r="M5" s="3" t="s">
        <v>32</v>
      </c>
      <c r="N5" s="8">
        <v>128943</v>
      </c>
      <c r="P5" s="3" t="s">
        <v>33</v>
      </c>
      <c r="Q5" s="8">
        <v>3848520</v>
      </c>
    </row>
    <row r="6" spans="1:17" x14ac:dyDescent="0.35">
      <c r="A6" s="3" t="s">
        <v>28</v>
      </c>
      <c r="B6" s="8">
        <v>444694</v>
      </c>
      <c r="D6" s="3" t="s">
        <v>17</v>
      </c>
      <c r="E6" s="8">
        <v>16170921</v>
      </c>
      <c r="G6" s="3" t="s">
        <v>558</v>
      </c>
      <c r="H6" s="8">
        <v>1621402</v>
      </c>
      <c r="J6" s="3" t="s">
        <v>102</v>
      </c>
      <c r="K6" s="8">
        <v>1330072</v>
      </c>
      <c r="M6" s="3" t="s">
        <v>59</v>
      </c>
      <c r="N6" s="8">
        <v>186384</v>
      </c>
      <c r="P6" s="3" t="s">
        <v>25</v>
      </c>
      <c r="Q6" s="8">
        <v>3850466</v>
      </c>
    </row>
    <row r="7" spans="1:17" x14ac:dyDescent="0.35">
      <c r="A7" s="3" t="s">
        <v>59</v>
      </c>
      <c r="B7" s="8">
        <v>186384</v>
      </c>
      <c r="D7" s="3" t="s">
        <v>24</v>
      </c>
      <c r="E7" s="8">
        <v>2145185</v>
      </c>
      <c r="G7" s="3" t="s">
        <v>559</v>
      </c>
      <c r="H7" s="8">
        <v>1092208</v>
      </c>
      <c r="J7" s="3" t="s">
        <v>22</v>
      </c>
      <c r="K7" s="8">
        <v>1234509</v>
      </c>
      <c r="M7" s="3" t="s">
        <v>11</v>
      </c>
      <c r="N7" s="8">
        <v>268586</v>
      </c>
      <c r="P7" s="3" t="s">
        <v>18</v>
      </c>
      <c r="Q7" s="8">
        <v>3853147</v>
      </c>
    </row>
    <row r="8" spans="1:17" x14ac:dyDescent="0.35">
      <c r="A8" s="3" t="s">
        <v>39</v>
      </c>
      <c r="B8" s="8">
        <v>6425463</v>
      </c>
      <c r="D8" s="3" t="s">
        <v>51</v>
      </c>
      <c r="E8" s="8">
        <v>30436</v>
      </c>
      <c r="G8" s="3" t="s">
        <v>560</v>
      </c>
      <c r="H8" s="8">
        <v>1703089</v>
      </c>
      <c r="J8" s="3" t="s">
        <v>66</v>
      </c>
      <c r="K8" s="8">
        <v>1115708</v>
      </c>
      <c r="M8" s="3" t="s">
        <v>28</v>
      </c>
      <c r="N8" s="8">
        <v>444694</v>
      </c>
      <c r="P8" s="3" t="s">
        <v>13</v>
      </c>
      <c r="Q8" s="8">
        <v>4210035</v>
      </c>
    </row>
    <row r="9" spans="1:17" x14ac:dyDescent="0.35">
      <c r="A9" s="3" t="s">
        <v>46</v>
      </c>
      <c r="B9" s="8">
        <v>2459480</v>
      </c>
      <c r="D9" s="3" t="s">
        <v>554</v>
      </c>
      <c r="E9">
        <v>19375149</v>
      </c>
      <c r="G9" s="3" t="s">
        <v>561</v>
      </c>
      <c r="H9" s="8">
        <v>1365995</v>
      </c>
      <c r="J9" s="3" t="s">
        <v>38</v>
      </c>
      <c r="K9" s="8">
        <v>1069831</v>
      </c>
      <c r="M9" s="3" t="s">
        <v>42</v>
      </c>
      <c r="N9" s="8">
        <v>1068228</v>
      </c>
      <c r="P9" s="3" t="s">
        <v>554</v>
      </c>
      <c r="Q9">
        <v>19375149</v>
      </c>
    </row>
    <row r="10" spans="1:17" x14ac:dyDescent="0.35">
      <c r="A10" s="3" t="s">
        <v>20</v>
      </c>
      <c r="B10" s="8">
        <v>3019925</v>
      </c>
      <c r="G10" s="3" t="s">
        <v>562</v>
      </c>
      <c r="H10" s="8">
        <v>1592219</v>
      </c>
      <c r="J10" s="3" t="s">
        <v>31</v>
      </c>
      <c r="K10" s="8">
        <v>1039383</v>
      </c>
      <c r="M10" s="3" t="s">
        <v>23</v>
      </c>
      <c r="N10" s="8">
        <v>1076957</v>
      </c>
    </row>
    <row r="11" spans="1:17" x14ac:dyDescent="0.35">
      <c r="A11" s="3" t="s">
        <v>32</v>
      </c>
      <c r="B11" s="8">
        <v>128943</v>
      </c>
      <c r="G11" s="3" t="s">
        <v>563</v>
      </c>
      <c r="H11" s="8">
        <v>1745408</v>
      </c>
      <c r="J11" s="3" t="s">
        <v>57</v>
      </c>
      <c r="K11" s="8">
        <v>1000226</v>
      </c>
      <c r="M11" s="3" t="s">
        <v>91</v>
      </c>
      <c r="N11" s="8">
        <v>1591392</v>
      </c>
    </row>
    <row r="12" spans="1:17" x14ac:dyDescent="0.35">
      <c r="A12" s="3" t="s">
        <v>50</v>
      </c>
      <c r="B12" s="8">
        <v>30436</v>
      </c>
      <c r="G12" s="3" t="s">
        <v>564</v>
      </c>
      <c r="H12" s="8">
        <v>1898693</v>
      </c>
      <c r="J12" s="3" t="s">
        <v>85</v>
      </c>
      <c r="K12" s="8">
        <v>980527</v>
      </c>
      <c r="M12" s="3" t="s">
        <v>46</v>
      </c>
      <c r="N12" s="8">
        <v>2459480</v>
      </c>
    </row>
    <row r="13" spans="1:17" x14ac:dyDescent="0.35">
      <c r="A13" s="3" t="s">
        <v>42</v>
      </c>
      <c r="B13" s="8">
        <v>1068228</v>
      </c>
      <c r="D13" s="7" t="s">
        <v>553</v>
      </c>
      <c r="E13" t="s">
        <v>555</v>
      </c>
      <c r="G13" s="3" t="s">
        <v>565</v>
      </c>
      <c r="H13" s="8">
        <v>2012022</v>
      </c>
      <c r="J13" s="3" t="s">
        <v>48</v>
      </c>
      <c r="K13" s="8">
        <v>943506</v>
      </c>
      <c r="M13" s="3" t="s">
        <v>16</v>
      </c>
      <c r="N13" s="8">
        <v>2674661</v>
      </c>
    </row>
    <row r="14" spans="1:17" x14ac:dyDescent="0.35">
      <c r="A14" s="3" t="s">
        <v>91</v>
      </c>
      <c r="B14" s="8">
        <v>1591392</v>
      </c>
      <c r="D14" s="3" t="s">
        <v>33</v>
      </c>
      <c r="E14">
        <v>3848520</v>
      </c>
      <c r="G14" s="3" t="s">
        <v>566</v>
      </c>
      <c r="H14" s="8">
        <v>1560933</v>
      </c>
      <c r="J14" s="3" t="s">
        <v>55</v>
      </c>
      <c r="K14" s="8">
        <v>846673</v>
      </c>
      <c r="M14" s="3" t="s">
        <v>20</v>
      </c>
      <c r="N14" s="8">
        <v>3019925</v>
      </c>
    </row>
    <row r="15" spans="1:17" x14ac:dyDescent="0.35">
      <c r="A15" s="3" t="s">
        <v>16</v>
      </c>
      <c r="B15" s="8">
        <v>2674661</v>
      </c>
      <c r="D15" s="3" t="s">
        <v>13</v>
      </c>
      <c r="E15">
        <v>4210035</v>
      </c>
      <c r="G15" s="3" t="s">
        <v>567</v>
      </c>
      <c r="H15" s="8">
        <v>1989181</v>
      </c>
      <c r="J15" s="3" t="s">
        <v>41</v>
      </c>
      <c r="K15" s="8">
        <v>816124</v>
      </c>
      <c r="M15" s="3" t="s">
        <v>39</v>
      </c>
      <c r="N15" s="8">
        <v>6425463</v>
      </c>
    </row>
    <row r="16" spans="1:17" x14ac:dyDescent="0.35">
      <c r="A16" s="3" t="s">
        <v>554</v>
      </c>
      <c r="B16">
        <v>19375149</v>
      </c>
      <c r="D16" s="3" t="s">
        <v>25</v>
      </c>
      <c r="E16">
        <v>3850466</v>
      </c>
      <c r="G16" s="3" t="s">
        <v>554</v>
      </c>
      <c r="H16">
        <v>19375149</v>
      </c>
      <c r="J16" s="3" t="s">
        <v>10</v>
      </c>
      <c r="K16" s="8">
        <v>806530</v>
      </c>
      <c r="M16" s="3" t="s">
        <v>554</v>
      </c>
      <c r="N16">
        <v>19375149</v>
      </c>
    </row>
    <row r="17" spans="4:11" x14ac:dyDescent="0.35">
      <c r="D17" s="3" t="s">
        <v>36</v>
      </c>
      <c r="E17">
        <v>3612981</v>
      </c>
      <c r="J17" s="3" t="s">
        <v>75</v>
      </c>
      <c r="K17" s="8">
        <v>772040</v>
      </c>
    </row>
    <row r="18" spans="4:11" x14ac:dyDescent="0.35">
      <c r="D18" s="3" t="s">
        <v>18</v>
      </c>
      <c r="E18">
        <v>3853147</v>
      </c>
      <c r="J18" s="3" t="s">
        <v>15</v>
      </c>
      <c r="K18" s="8">
        <v>736426</v>
      </c>
    </row>
    <row r="19" spans="4:11" x14ac:dyDescent="0.35">
      <c r="D19" s="3" t="s">
        <v>554</v>
      </c>
      <c r="E19">
        <v>19375149</v>
      </c>
      <c r="J19" s="3" t="s">
        <v>45</v>
      </c>
      <c r="K19" s="8">
        <v>733146</v>
      </c>
    </row>
    <row r="20" spans="4:11" x14ac:dyDescent="0.35">
      <c r="J20" s="3" t="s">
        <v>111</v>
      </c>
      <c r="K20" s="8">
        <v>716785</v>
      </c>
    </row>
    <row r="21" spans="4:11" x14ac:dyDescent="0.35">
      <c r="J21" s="3" t="s">
        <v>35</v>
      </c>
      <c r="K21" s="8">
        <v>667091</v>
      </c>
    </row>
    <row r="22" spans="4:11" x14ac:dyDescent="0.35">
      <c r="J22" s="3" t="s">
        <v>80</v>
      </c>
      <c r="K22" s="8">
        <v>580811</v>
      </c>
    </row>
    <row r="23" spans="4:11" x14ac:dyDescent="0.35">
      <c r="J23" s="3" t="s">
        <v>27</v>
      </c>
      <c r="K23" s="8">
        <v>535856</v>
      </c>
    </row>
    <row r="24" spans="4:11" x14ac:dyDescent="0.35">
      <c r="J24" s="3" t="s">
        <v>554</v>
      </c>
      <c r="K24">
        <v>19375149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abSelected="1" zoomScaleNormal="100" workbookViewId="0">
      <pane ySplit="1" topLeftCell="A2" activePane="bottomLeft" state="frozen"/>
      <selection pane="bottomLeft" activeCell="M4" sqref="M4"/>
    </sheetView>
  </sheetViews>
  <sheetFormatPr defaultRowHeight="14.5" x14ac:dyDescent="0.35"/>
  <cols>
    <col min="1" max="1" width="10" customWidth="1"/>
    <col min="2" max="2" width="12.1796875" customWidth="1"/>
    <col min="3" max="3" width="16.36328125" customWidth="1"/>
    <col min="4" max="4" width="14" customWidth="1"/>
    <col min="5" max="5" width="13" customWidth="1"/>
    <col min="6" max="6" width="12" customWidth="1"/>
    <col min="7" max="7" width="10.1796875" customWidth="1"/>
    <col min="8" max="8" width="12" customWidth="1"/>
    <col min="9" max="9" width="10" customWidth="1"/>
    <col min="10" max="10" width="11.26953125" style="6" customWidth="1"/>
    <col min="11" max="11" width="16.90625" customWidth="1"/>
  </cols>
  <sheetData>
    <row r="1" spans="1:11" x14ac:dyDescent="0.35">
      <c r="A1" s="1" t="s">
        <v>0</v>
      </c>
      <c r="B1" s="1" t="s">
        <v>1</v>
      </c>
      <c r="C1" s="1" t="s">
        <v>2</v>
      </c>
      <c r="D1" s="1" t="s">
        <v>3</v>
      </c>
      <c r="E1" s="1" t="s">
        <v>4</v>
      </c>
      <c r="F1" s="1" t="s">
        <v>5</v>
      </c>
      <c r="G1" s="1" t="s">
        <v>6</v>
      </c>
      <c r="H1" s="1" t="s">
        <v>7</v>
      </c>
      <c r="I1" s="1" t="s">
        <v>8</v>
      </c>
      <c r="J1" s="5" t="s">
        <v>551</v>
      </c>
      <c r="K1" s="4" t="s">
        <v>552</v>
      </c>
    </row>
    <row r="2" spans="1:11" x14ac:dyDescent="0.35">
      <c r="A2" t="s">
        <v>9</v>
      </c>
      <c r="B2" s="2">
        <v>46163</v>
      </c>
      <c r="C2" t="s">
        <v>10</v>
      </c>
      <c r="D2" t="s">
        <v>11</v>
      </c>
      <c r="E2" t="s">
        <v>12</v>
      </c>
      <c r="F2" t="s">
        <v>13</v>
      </c>
      <c r="G2">
        <v>1</v>
      </c>
      <c r="H2">
        <v>1663</v>
      </c>
      <c r="I2">
        <v>1663</v>
      </c>
      <c r="J2" s="6" t="str">
        <f>TEXT(B2,"mmm")</f>
        <v>May</v>
      </c>
      <c r="K2">
        <f>G2*H2</f>
        <v>1663</v>
      </c>
    </row>
    <row r="3" spans="1:11" x14ac:dyDescent="0.35">
      <c r="A3" t="s">
        <v>14</v>
      </c>
      <c r="B3" s="2">
        <v>46302</v>
      </c>
      <c r="C3" t="s">
        <v>15</v>
      </c>
      <c r="D3" t="s">
        <v>16</v>
      </c>
      <c r="E3" t="s">
        <v>17</v>
      </c>
      <c r="F3" t="s">
        <v>18</v>
      </c>
      <c r="G3">
        <v>6</v>
      </c>
      <c r="H3">
        <v>16855</v>
      </c>
      <c r="I3">
        <v>101130</v>
      </c>
      <c r="J3" s="6" t="str">
        <f t="shared" ref="J3:J66" si="0">TEXT(B3,"mmm")</f>
        <v>Oct</v>
      </c>
      <c r="K3">
        <f t="shared" ref="K3:K66" si="1">G3*H3</f>
        <v>101130</v>
      </c>
    </row>
    <row r="4" spans="1:11" x14ac:dyDescent="0.35">
      <c r="A4" t="s">
        <v>19</v>
      </c>
      <c r="B4" s="2">
        <v>46134</v>
      </c>
      <c r="C4" t="s">
        <v>10</v>
      </c>
      <c r="D4" t="s">
        <v>20</v>
      </c>
      <c r="E4" t="s">
        <v>17</v>
      </c>
      <c r="F4" t="s">
        <v>18</v>
      </c>
      <c r="G4">
        <v>1</v>
      </c>
      <c r="H4">
        <v>13872</v>
      </c>
      <c r="I4">
        <v>13872</v>
      </c>
      <c r="J4" s="6" t="str">
        <f t="shared" si="0"/>
        <v>Apr</v>
      </c>
      <c r="K4">
        <f t="shared" si="1"/>
        <v>13872</v>
      </c>
    </row>
    <row r="5" spans="1:11" x14ac:dyDescent="0.35">
      <c r="A5" t="s">
        <v>21</v>
      </c>
      <c r="B5" s="2">
        <v>46355</v>
      </c>
      <c r="C5" t="s">
        <v>22</v>
      </c>
      <c r="D5" t="s">
        <v>23</v>
      </c>
      <c r="E5" t="s">
        <v>24</v>
      </c>
      <c r="F5" t="s">
        <v>25</v>
      </c>
      <c r="G5">
        <v>1</v>
      </c>
      <c r="H5">
        <v>7069</v>
      </c>
      <c r="I5">
        <v>7069</v>
      </c>
      <c r="J5" s="6" t="str">
        <f t="shared" si="0"/>
        <v>Nov</v>
      </c>
      <c r="K5">
        <f t="shared" si="1"/>
        <v>7069</v>
      </c>
    </row>
    <row r="6" spans="1:11" x14ac:dyDescent="0.35">
      <c r="A6" t="s">
        <v>26</v>
      </c>
      <c r="B6" s="2">
        <v>46026</v>
      </c>
      <c r="C6" t="s">
        <v>27</v>
      </c>
      <c r="D6" t="s">
        <v>28</v>
      </c>
      <c r="E6" t="s">
        <v>29</v>
      </c>
      <c r="F6" t="s">
        <v>25</v>
      </c>
      <c r="G6">
        <v>4</v>
      </c>
      <c r="H6">
        <v>2536</v>
      </c>
      <c r="I6">
        <v>10144</v>
      </c>
      <c r="J6" s="6" t="str">
        <f t="shared" si="0"/>
        <v>Jan</v>
      </c>
      <c r="K6">
        <f t="shared" si="1"/>
        <v>10144</v>
      </c>
    </row>
    <row r="7" spans="1:11" x14ac:dyDescent="0.35">
      <c r="A7" t="s">
        <v>30</v>
      </c>
      <c r="B7" s="2">
        <v>46195</v>
      </c>
      <c r="C7" t="s">
        <v>31</v>
      </c>
      <c r="D7" t="s">
        <v>32</v>
      </c>
      <c r="E7" t="s">
        <v>29</v>
      </c>
      <c r="F7" t="s">
        <v>33</v>
      </c>
      <c r="G7">
        <v>3</v>
      </c>
      <c r="H7">
        <v>756</v>
      </c>
      <c r="I7">
        <v>2268</v>
      </c>
      <c r="J7" s="6" t="str">
        <f t="shared" si="0"/>
        <v>Jun</v>
      </c>
      <c r="K7">
        <f t="shared" si="1"/>
        <v>2268</v>
      </c>
    </row>
    <row r="8" spans="1:11" x14ac:dyDescent="0.35">
      <c r="A8" t="s">
        <v>34</v>
      </c>
      <c r="B8" s="2">
        <v>46199</v>
      </c>
      <c r="C8" t="s">
        <v>35</v>
      </c>
      <c r="D8" t="s">
        <v>20</v>
      </c>
      <c r="E8" t="s">
        <v>17</v>
      </c>
      <c r="F8" t="s">
        <v>36</v>
      </c>
      <c r="G8">
        <v>1</v>
      </c>
      <c r="H8">
        <v>14662</v>
      </c>
      <c r="I8">
        <v>14662</v>
      </c>
      <c r="J8" s="6" t="str">
        <f t="shared" si="0"/>
        <v>Jun</v>
      </c>
      <c r="K8">
        <f t="shared" si="1"/>
        <v>14662</v>
      </c>
    </row>
    <row r="9" spans="1:11" x14ac:dyDescent="0.35">
      <c r="A9" t="s">
        <v>37</v>
      </c>
      <c r="B9" s="2">
        <v>46086</v>
      </c>
      <c r="C9" t="s">
        <v>38</v>
      </c>
      <c r="D9" t="s">
        <v>39</v>
      </c>
      <c r="E9" t="s">
        <v>17</v>
      </c>
      <c r="F9" t="s">
        <v>33</v>
      </c>
      <c r="G9">
        <v>6</v>
      </c>
      <c r="H9">
        <v>44708</v>
      </c>
      <c r="I9">
        <v>268248</v>
      </c>
      <c r="J9" s="6" t="str">
        <f t="shared" si="0"/>
        <v>Mar</v>
      </c>
      <c r="K9">
        <f t="shared" si="1"/>
        <v>268248</v>
      </c>
    </row>
    <row r="10" spans="1:11" x14ac:dyDescent="0.35">
      <c r="A10" t="s">
        <v>40</v>
      </c>
      <c r="B10" s="2">
        <v>46339</v>
      </c>
      <c r="C10" t="s">
        <v>41</v>
      </c>
      <c r="D10" t="s">
        <v>42</v>
      </c>
      <c r="E10" t="s">
        <v>24</v>
      </c>
      <c r="F10" t="s">
        <v>18</v>
      </c>
      <c r="G10">
        <v>3</v>
      </c>
      <c r="H10">
        <v>8948</v>
      </c>
      <c r="I10">
        <v>26844</v>
      </c>
      <c r="J10" s="6" t="str">
        <f t="shared" si="0"/>
        <v>Nov</v>
      </c>
      <c r="K10">
        <f t="shared" si="1"/>
        <v>26844</v>
      </c>
    </row>
    <row r="11" spans="1:11" x14ac:dyDescent="0.35">
      <c r="A11" t="s">
        <v>43</v>
      </c>
      <c r="B11" s="2">
        <v>46361</v>
      </c>
      <c r="C11" t="s">
        <v>10</v>
      </c>
      <c r="D11" t="s">
        <v>28</v>
      </c>
      <c r="E11" t="s">
        <v>29</v>
      </c>
      <c r="F11" t="s">
        <v>36</v>
      </c>
      <c r="G11">
        <v>6</v>
      </c>
      <c r="H11">
        <v>2328</v>
      </c>
      <c r="I11">
        <v>13968</v>
      </c>
      <c r="J11" s="6" t="str">
        <f t="shared" si="0"/>
        <v>Dec</v>
      </c>
      <c r="K11">
        <f t="shared" si="1"/>
        <v>13968</v>
      </c>
    </row>
    <row r="12" spans="1:11" x14ac:dyDescent="0.35">
      <c r="A12" t="s">
        <v>44</v>
      </c>
      <c r="B12" s="2">
        <v>46217</v>
      </c>
      <c r="C12" t="s">
        <v>45</v>
      </c>
      <c r="D12" t="s">
        <v>46</v>
      </c>
      <c r="E12" t="s">
        <v>17</v>
      </c>
      <c r="F12" t="s">
        <v>25</v>
      </c>
      <c r="G12">
        <v>2</v>
      </c>
      <c r="H12">
        <v>23290</v>
      </c>
      <c r="I12">
        <v>46580</v>
      </c>
      <c r="J12" s="6" t="str">
        <f t="shared" si="0"/>
        <v>Jul</v>
      </c>
      <c r="K12">
        <f t="shared" si="1"/>
        <v>46580</v>
      </c>
    </row>
    <row r="13" spans="1:11" x14ac:dyDescent="0.35">
      <c r="A13" t="s">
        <v>47</v>
      </c>
      <c r="B13" s="2">
        <v>46204</v>
      </c>
      <c r="C13" t="s">
        <v>48</v>
      </c>
      <c r="D13" t="s">
        <v>11</v>
      </c>
      <c r="E13" t="s">
        <v>12</v>
      </c>
      <c r="F13" t="s">
        <v>36</v>
      </c>
      <c r="G13">
        <v>3</v>
      </c>
      <c r="H13">
        <v>1703</v>
      </c>
      <c r="I13">
        <v>5109</v>
      </c>
      <c r="J13" s="6" t="str">
        <f t="shared" si="0"/>
        <v>Jul</v>
      </c>
      <c r="K13">
        <f t="shared" si="1"/>
        <v>5109</v>
      </c>
    </row>
    <row r="14" spans="1:11" x14ac:dyDescent="0.35">
      <c r="A14" t="s">
        <v>49</v>
      </c>
      <c r="B14" s="2">
        <v>46334</v>
      </c>
      <c r="C14" t="s">
        <v>27</v>
      </c>
      <c r="D14" t="s">
        <v>50</v>
      </c>
      <c r="E14" t="s">
        <v>51</v>
      </c>
      <c r="F14" t="s">
        <v>18</v>
      </c>
      <c r="G14">
        <v>6</v>
      </c>
      <c r="H14">
        <v>256</v>
      </c>
      <c r="I14">
        <v>1536</v>
      </c>
      <c r="J14" s="6" t="str">
        <f t="shared" si="0"/>
        <v>Nov</v>
      </c>
      <c r="K14">
        <f t="shared" si="1"/>
        <v>1536</v>
      </c>
    </row>
    <row r="15" spans="1:11" x14ac:dyDescent="0.35">
      <c r="A15" t="s">
        <v>52</v>
      </c>
      <c r="B15" s="2">
        <v>46217</v>
      </c>
      <c r="C15" t="s">
        <v>45</v>
      </c>
      <c r="D15" t="s">
        <v>50</v>
      </c>
      <c r="E15" t="s">
        <v>51</v>
      </c>
      <c r="F15" t="s">
        <v>18</v>
      </c>
      <c r="G15">
        <v>2</v>
      </c>
      <c r="H15">
        <v>237</v>
      </c>
      <c r="I15">
        <v>474</v>
      </c>
      <c r="J15" s="6" t="str">
        <f t="shared" si="0"/>
        <v>Jul</v>
      </c>
      <c r="K15">
        <f t="shared" si="1"/>
        <v>474</v>
      </c>
    </row>
    <row r="16" spans="1:11" x14ac:dyDescent="0.35">
      <c r="A16" t="s">
        <v>53</v>
      </c>
      <c r="B16" s="2">
        <v>46051</v>
      </c>
      <c r="C16" t="s">
        <v>10</v>
      </c>
      <c r="D16" t="s">
        <v>28</v>
      </c>
      <c r="E16" t="s">
        <v>29</v>
      </c>
      <c r="F16" t="s">
        <v>33</v>
      </c>
      <c r="G16">
        <v>6</v>
      </c>
      <c r="H16">
        <v>2430</v>
      </c>
      <c r="I16">
        <v>14580</v>
      </c>
      <c r="J16" s="6" t="str">
        <f t="shared" si="0"/>
        <v>Jan</v>
      </c>
      <c r="K16">
        <f t="shared" si="1"/>
        <v>14580</v>
      </c>
    </row>
    <row r="17" spans="1:11" x14ac:dyDescent="0.35">
      <c r="A17" t="s">
        <v>54</v>
      </c>
      <c r="B17" s="2">
        <v>46131</v>
      </c>
      <c r="C17" t="s">
        <v>55</v>
      </c>
      <c r="D17" t="s">
        <v>32</v>
      </c>
      <c r="E17" t="s">
        <v>29</v>
      </c>
      <c r="F17" t="s">
        <v>36</v>
      </c>
      <c r="G17">
        <v>4</v>
      </c>
      <c r="H17">
        <v>770</v>
      </c>
      <c r="I17">
        <v>3080</v>
      </c>
      <c r="J17" s="6" t="str">
        <f t="shared" si="0"/>
        <v>Apr</v>
      </c>
      <c r="K17">
        <f t="shared" si="1"/>
        <v>3080</v>
      </c>
    </row>
    <row r="18" spans="1:11" x14ac:dyDescent="0.35">
      <c r="A18" t="s">
        <v>56</v>
      </c>
      <c r="B18" s="2">
        <v>46352</v>
      </c>
      <c r="C18" t="s">
        <v>57</v>
      </c>
      <c r="D18" t="s">
        <v>28</v>
      </c>
      <c r="E18" t="s">
        <v>29</v>
      </c>
      <c r="F18" t="s">
        <v>13</v>
      </c>
      <c r="G18">
        <v>6</v>
      </c>
      <c r="H18">
        <v>2500</v>
      </c>
      <c r="I18">
        <v>15000</v>
      </c>
      <c r="J18" s="6" t="str">
        <f t="shared" si="0"/>
        <v>Nov</v>
      </c>
      <c r="K18">
        <f t="shared" si="1"/>
        <v>15000</v>
      </c>
    </row>
    <row r="19" spans="1:11" x14ac:dyDescent="0.35">
      <c r="A19" t="s">
        <v>58</v>
      </c>
      <c r="B19" s="2">
        <v>46310</v>
      </c>
      <c r="C19" t="s">
        <v>22</v>
      </c>
      <c r="D19" t="s">
        <v>59</v>
      </c>
      <c r="E19" t="s">
        <v>29</v>
      </c>
      <c r="F19" t="s">
        <v>36</v>
      </c>
      <c r="G19">
        <v>2</v>
      </c>
      <c r="H19">
        <v>1151</v>
      </c>
      <c r="I19">
        <v>2302</v>
      </c>
      <c r="J19" s="6" t="str">
        <f t="shared" si="0"/>
        <v>Oct</v>
      </c>
      <c r="K19">
        <f t="shared" si="1"/>
        <v>2302</v>
      </c>
    </row>
    <row r="20" spans="1:11" x14ac:dyDescent="0.35">
      <c r="A20" t="s">
        <v>60</v>
      </c>
      <c r="B20" s="2">
        <v>46321</v>
      </c>
      <c r="C20" t="s">
        <v>38</v>
      </c>
      <c r="D20" t="s">
        <v>50</v>
      </c>
      <c r="E20" t="s">
        <v>51</v>
      </c>
      <c r="F20" t="s">
        <v>36</v>
      </c>
      <c r="G20">
        <v>5</v>
      </c>
      <c r="H20">
        <v>247</v>
      </c>
      <c r="I20">
        <v>1235</v>
      </c>
      <c r="J20" s="6" t="str">
        <f t="shared" si="0"/>
        <v>Oct</v>
      </c>
      <c r="K20">
        <f t="shared" si="1"/>
        <v>1235</v>
      </c>
    </row>
    <row r="21" spans="1:11" x14ac:dyDescent="0.35">
      <c r="A21" t="s">
        <v>61</v>
      </c>
      <c r="B21" s="2">
        <v>46069</v>
      </c>
      <c r="C21" t="s">
        <v>62</v>
      </c>
      <c r="D21" t="s">
        <v>28</v>
      </c>
      <c r="E21" t="s">
        <v>29</v>
      </c>
      <c r="F21" t="s">
        <v>33</v>
      </c>
      <c r="G21">
        <v>2</v>
      </c>
      <c r="H21">
        <v>2504</v>
      </c>
      <c r="I21">
        <v>5008</v>
      </c>
      <c r="J21" s="6" t="str">
        <f t="shared" si="0"/>
        <v>Feb</v>
      </c>
      <c r="K21">
        <f t="shared" si="1"/>
        <v>5008</v>
      </c>
    </row>
    <row r="22" spans="1:11" x14ac:dyDescent="0.35">
      <c r="A22" t="s">
        <v>63</v>
      </c>
      <c r="B22" s="2">
        <v>46371</v>
      </c>
      <c r="C22" t="s">
        <v>64</v>
      </c>
      <c r="D22" t="s">
        <v>16</v>
      </c>
      <c r="E22" t="s">
        <v>17</v>
      </c>
      <c r="F22" t="s">
        <v>18</v>
      </c>
      <c r="G22">
        <v>6</v>
      </c>
      <c r="H22">
        <v>17021</v>
      </c>
      <c r="I22">
        <v>102126</v>
      </c>
      <c r="J22" s="6" t="str">
        <f t="shared" si="0"/>
        <v>Dec</v>
      </c>
      <c r="K22">
        <f t="shared" si="1"/>
        <v>102126</v>
      </c>
    </row>
    <row r="23" spans="1:11" x14ac:dyDescent="0.35">
      <c r="A23" t="s">
        <v>65</v>
      </c>
      <c r="B23" s="2">
        <v>46262</v>
      </c>
      <c r="C23" t="s">
        <v>66</v>
      </c>
      <c r="D23" t="s">
        <v>46</v>
      </c>
      <c r="E23" t="s">
        <v>17</v>
      </c>
      <c r="F23" t="s">
        <v>36</v>
      </c>
      <c r="G23">
        <v>4</v>
      </c>
      <c r="H23">
        <v>21583</v>
      </c>
      <c r="I23">
        <v>86332</v>
      </c>
      <c r="J23" s="6" t="str">
        <f t="shared" si="0"/>
        <v>Aug</v>
      </c>
      <c r="K23">
        <f t="shared" si="1"/>
        <v>86332</v>
      </c>
    </row>
    <row r="24" spans="1:11" x14ac:dyDescent="0.35">
      <c r="A24" t="s">
        <v>67</v>
      </c>
      <c r="B24" s="2">
        <v>46081</v>
      </c>
      <c r="C24" t="s">
        <v>22</v>
      </c>
      <c r="D24" t="s">
        <v>42</v>
      </c>
      <c r="E24" t="s">
        <v>24</v>
      </c>
      <c r="F24" t="s">
        <v>36</v>
      </c>
      <c r="G24">
        <v>1</v>
      </c>
      <c r="H24">
        <v>8745</v>
      </c>
      <c r="I24">
        <v>8745</v>
      </c>
      <c r="J24" s="6" t="str">
        <f t="shared" si="0"/>
        <v>Feb</v>
      </c>
      <c r="K24">
        <f t="shared" si="1"/>
        <v>8745</v>
      </c>
    </row>
    <row r="25" spans="1:11" x14ac:dyDescent="0.35">
      <c r="A25" t="s">
        <v>68</v>
      </c>
      <c r="B25" s="2">
        <v>46245</v>
      </c>
      <c r="C25" t="s">
        <v>27</v>
      </c>
      <c r="D25" t="s">
        <v>11</v>
      </c>
      <c r="E25" t="s">
        <v>12</v>
      </c>
      <c r="F25" t="s">
        <v>25</v>
      </c>
      <c r="G25">
        <v>3</v>
      </c>
      <c r="H25">
        <v>1688</v>
      </c>
      <c r="I25">
        <v>5064</v>
      </c>
      <c r="J25" s="6" t="str">
        <f t="shared" si="0"/>
        <v>Aug</v>
      </c>
      <c r="K25">
        <f t="shared" si="1"/>
        <v>5064</v>
      </c>
    </row>
    <row r="26" spans="1:11" x14ac:dyDescent="0.35">
      <c r="A26" t="s">
        <v>69</v>
      </c>
      <c r="B26" s="2">
        <v>46157</v>
      </c>
      <c r="C26" t="s">
        <v>66</v>
      </c>
      <c r="D26" t="s">
        <v>39</v>
      </c>
      <c r="E26" t="s">
        <v>17</v>
      </c>
      <c r="F26" t="s">
        <v>13</v>
      </c>
      <c r="G26">
        <v>6</v>
      </c>
      <c r="H26">
        <v>47706</v>
      </c>
      <c r="I26">
        <v>286236</v>
      </c>
      <c r="J26" s="6" t="str">
        <f t="shared" si="0"/>
        <v>May</v>
      </c>
      <c r="K26">
        <f t="shared" si="1"/>
        <v>286236</v>
      </c>
    </row>
    <row r="27" spans="1:11" x14ac:dyDescent="0.35">
      <c r="A27" t="s">
        <v>70</v>
      </c>
      <c r="B27" s="2">
        <v>46175</v>
      </c>
      <c r="C27" t="s">
        <v>66</v>
      </c>
      <c r="D27" t="s">
        <v>42</v>
      </c>
      <c r="E27" t="s">
        <v>24</v>
      </c>
      <c r="F27" t="s">
        <v>18</v>
      </c>
      <c r="G27">
        <v>1</v>
      </c>
      <c r="H27">
        <v>9004</v>
      </c>
      <c r="I27">
        <v>9004</v>
      </c>
      <c r="J27" s="6" t="str">
        <f t="shared" si="0"/>
        <v>Jun</v>
      </c>
      <c r="K27">
        <f t="shared" si="1"/>
        <v>9004</v>
      </c>
    </row>
    <row r="28" spans="1:11" x14ac:dyDescent="0.35">
      <c r="A28" t="s">
        <v>71</v>
      </c>
      <c r="B28" s="2">
        <v>46105</v>
      </c>
      <c r="C28" t="s">
        <v>22</v>
      </c>
      <c r="D28" t="s">
        <v>28</v>
      </c>
      <c r="E28" t="s">
        <v>29</v>
      </c>
      <c r="F28" t="s">
        <v>18</v>
      </c>
      <c r="G28">
        <v>2</v>
      </c>
      <c r="H28">
        <v>2450</v>
      </c>
      <c r="I28">
        <v>4900</v>
      </c>
      <c r="J28" s="6" t="str">
        <f t="shared" si="0"/>
        <v>Mar</v>
      </c>
      <c r="K28">
        <f t="shared" si="1"/>
        <v>4900</v>
      </c>
    </row>
    <row r="29" spans="1:11" x14ac:dyDescent="0.35">
      <c r="A29" t="s">
        <v>72</v>
      </c>
      <c r="B29" s="2">
        <v>46032</v>
      </c>
      <c r="C29" t="s">
        <v>31</v>
      </c>
      <c r="D29" t="s">
        <v>39</v>
      </c>
      <c r="E29" t="s">
        <v>17</v>
      </c>
      <c r="F29" t="s">
        <v>36</v>
      </c>
      <c r="G29">
        <v>5</v>
      </c>
      <c r="H29">
        <v>43734</v>
      </c>
      <c r="I29">
        <v>218670</v>
      </c>
      <c r="J29" s="6" t="str">
        <f t="shared" si="0"/>
        <v>Jan</v>
      </c>
      <c r="K29">
        <f t="shared" si="1"/>
        <v>218670</v>
      </c>
    </row>
    <row r="30" spans="1:11" x14ac:dyDescent="0.35">
      <c r="A30" t="s">
        <v>73</v>
      </c>
      <c r="B30" s="2">
        <v>46313</v>
      </c>
      <c r="C30" t="s">
        <v>15</v>
      </c>
      <c r="D30" t="s">
        <v>59</v>
      </c>
      <c r="E30" t="s">
        <v>29</v>
      </c>
      <c r="F30" t="s">
        <v>33</v>
      </c>
      <c r="G30">
        <v>2</v>
      </c>
      <c r="H30">
        <v>1115</v>
      </c>
      <c r="I30">
        <v>2230</v>
      </c>
      <c r="J30" s="6" t="str">
        <f t="shared" si="0"/>
        <v>Oct</v>
      </c>
      <c r="K30">
        <f t="shared" si="1"/>
        <v>2230</v>
      </c>
    </row>
    <row r="31" spans="1:11" x14ac:dyDescent="0.35">
      <c r="A31" t="s">
        <v>74</v>
      </c>
      <c r="B31" s="2">
        <v>46295</v>
      </c>
      <c r="C31" t="s">
        <v>75</v>
      </c>
      <c r="D31" t="s">
        <v>50</v>
      </c>
      <c r="E31" t="s">
        <v>51</v>
      </c>
      <c r="F31" t="s">
        <v>13</v>
      </c>
      <c r="G31">
        <v>4</v>
      </c>
      <c r="H31">
        <v>263</v>
      </c>
      <c r="I31">
        <v>1052</v>
      </c>
      <c r="J31" s="6" t="str">
        <f t="shared" si="0"/>
        <v>Sep</v>
      </c>
      <c r="K31">
        <f t="shared" si="1"/>
        <v>1052</v>
      </c>
    </row>
    <row r="32" spans="1:11" x14ac:dyDescent="0.35">
      <c r="A32" t="s">
        <v>76</v>
      </c>
      <c r="B32" s="2">
        <v>46107</v>
      </c>
      <c r="C32" t="s">
        <v>45</v>
      </c>
      <c r="D32" t="s">
        <v>11</v>
      </c>
      <c r="E32" t="s">
        <v>12</v>
      </c>
      <c r="F32" t="s">
        <v>18</v>
      </c>
      <c r="G32">
        <v>4</v>
      </c>
      <c r="H32">
        <v>1929</v>
      </c>
      <c r="I32">
        <v>7716</v>
      </c>
      <c r="J32" s="6" t="str">
        <f t="shared" si="0"/>
        <v>Mar</v>
      </c>
      <c r="K32">
        <f t="shared" si="1"/>
        <v>7716</v>
      </c>
    </row>
    <row r="33" spans="1:11" x14ac:dyDescent="0.35">
      <c r="A33" t="s">
        <v>77</v>
      </c>
      <c r="B33" s="2">
        <v>46299</v>
      </c>
      <c r="C33" t="s">
        <v>48</v>
      </c>
      <c r="D33" t="s">
        <v>23</v>
      </c>
      <c r="E33" t="s">
        <v>24</v>
      </c>
      <c r="F33" t="s">
        <v>36</v>
      </c>
      <c r="G33">
        <v>4</v>
      </c>
      <c r="H33">
        <v>7520</v>
      </c>
      <c r="I33">
        <v>30080</v>
      </c>
      <c r="J33" s="6" t="str">
        <f t="shared" si="0"/>
        <v>Oct</v>
      </c>
      <c r="K33">
        <f t="shared" si="1"/>
        <v>30080</v>
      </c>
    </row>
    <row r="34" spans="1:11" x14ac:dyDescent="0.35">
      <c r="A34" t="s">
        <v>78</v>
      </c>
      <c r="B34" s="2">
        <v>46247</v>
      </c>
      <c r="C34" t="s">
        <v>66</v>
      </c>
      <c r="D34" t="s">
        <v>20</v>
      </c>
      <c r="E34" t="s">
        <v>17</v>
      </c>
      <c r="F34" t="s">
        <v>25</v>
      </c>
      <c r="G34">
        <v>6</v>
      </c>
      <c r="H34">
        <v>15360</v>
      </c>
      <c r="I34">
        <v>92160</v>
      </c>
      <c r="J34" s="6" t="str">
        <f t="shared" si="0"/>
        <v>Aug</v>
      </c>
      <c r="K34">
        <f t="shared" si="1"/>
        <v>92160</v>
      </c>
    </row>
    <row r="35" spans="1:11" x14ac:dyDescent="0.35">
      <c r="A35" t="s">
        <v>79</v>
      </c>
      <c r="B35" s="2">
        <v>46196</v>
      </c>
      <c r="C35" t="s">
        <v>80</v>
      </c>
      <c r="D35" t="s">
        <v>46</v>
      </c>
      <c r="E35" t="s">
        <v>17</v>
      </c>
      <c r="F35" t="s">
        <v>18</v>
      </c>
      <c r="G35">
        <v>2</v>
      </c>
      <c r="H35">
        <v>21031</v>
      </c>
      <c r="I35">
        <v>42062</v>
      </c>
      <c r="J35" s="6" t="str">
        <f t="shared" si="0"/>
        <v>Jun</v>
      </c>
      <c r="K35">
        <f t="shared" si="1"/>
        <v>42062</v>
      </c>
    </row>
    <row r="36" spans="1:11" x14ac:dyDescent="0.35">
      <c r="A36" t="s">
        <v>81</v>
      </c>
      <c r="B36" s="2">
        <v>46026</v>
      </c>
      <c r="C36" t="s">
        <v>15</v>
      </c>
      <c r="D36" t="s">
        <v>42</v>
      </c>
      <c r="E36" t="s">
        <v>24</v>
      </c>
      <c r="F36" t="s">
        <v>33</v>
      </c>
      <c r="G36">
        <v>2</v>
      </c>
      <c r="H36">
        <v>8620</v>
      </c>
      <c r="I36">
        <v>17240</v>
      </c>
      <c r="J36" s="6" t="str">
        <f t="shared" si="0"/>
        <v>Jan</v>
      </c>
      <c r="K36">
        <f t="shared" si="1"/>
        <v>17240</v>
      </c>
    </row>
    <row r="37" spans="1:11" x14ac:dyDescent="0.35">
      <c r="A37" t="s">
        <v>82</v>
      </c>
      <c r="B37" s="2">
        <v>46192</v>
      </c>
      <c r="C37" t="s">
        <v>15</v>
      </c>
      <c r="D37" t="s">
        <v>28</v>
      </c>
      <c r="E37" t="s">
        <v>29</v>
      </c>
      <c r="F37" t="s">
        <v>18</v>
      </c>
      <c r="G37">
        <v>1</v>
      </c>
      <c r="H37">
        <v>2662</v>
      </c>
      <c r="I37">
        <v>2662</v>
      </c>
      <c r="J37" s="6" t="str">
        <f t="shared" si="0"/>
        <v>Jun</v>
      </c>
      <c r="K37">
        <f t="shared" si="1"/>
        <v>2662</v>
      </c>
    </row>
    <row r="38" spans="1:11" x14ac:dyDescent="0.35">
      <c r="A38" t="s">
        <v>83</v>
      </c>
      <c r="B38" s="2">
        <v>46132</v>
      </c>
      <c r="C38" t="s">
        <v>22</v>
      </c>
      <c r="D38" t="s">
        <v>28</v>
      </c>
      <c r="E38" t="s">
        <v>29</v>
      </c>
      <c r="F38" t="s">
        <v>13</v>
      </c>
      <c r="G38">
        <v>3</v>
      </c>
      <c r="H38">
        <v>2568</v>
      </c>
      <c r="I38">
        <v>7704</v>
      </c>
      <c r="J38" s="6" t="str">
        <f t="shared" si="0"/>
        <v>Apr</v>
      </c>
      <c r="K38">
        <f t="shared" si="1"/>
        <v>7704</v>
      </c>
    </row>
    <row r="39" spans="1:11" x14ac:dyDescent="0.35">
      <c r="A39" t="s">
        <v>84</v>
      </c>
      <c r="B39" s="2">
        <v>46147</v>
      </c>
      <c r="C39" t="s">
        <v>85</v>
      </c>
      <c r="D39" t="s">
        <v>50</v>
      </c>
      <c r="E39" t="s">
        <v>51</v>
      </c>
      <c r="F39" t="s">
        <v>25</v>
      </c>
      <c r="G39">
        <v>5</v>
      </c>
      <c r="H39">
        <v>253</v>
      </c>
      <c r="I39">
        <v>1265</v>
      </c>
      <c r="J39" s="6" t="str">
        <f t="shared" si="0"/>
        <v>May</v>
      </c>
      <c r="K39">
        <f t="shared" si="1"/>
        <v>1265</v>
      </c>
    </row>
    <row r="40" spans="1:11" x14ac:dyDescent="0.35">
      <c r="A40" t="s">
        <v>86</v>
      </c>
      <c r="B40" s="2">
        <v>46243</v>
      </c>
      <c r="C40" t="s">
        <v>41</v>
      </c>
      <c r="D40" t="s">
        <v>28</v>
      </c>
      <c r="E40" t="s">
        <v>29</v>
      </c>
      <c r="F40" t="s">
        <v>25</v>
      </c>
      <c r="G40">
        <v>1</v>
      </c>
      <c r="H40">
        <v>2339</v>
      </c>
      <c r="I40">
        <v>2339</v>
      </c>
      <c r="J40" s="6" t="str">
        <f t="shared" si="0"/>
        <v>Aug</v>
      </c>
      <c r="K40">
        <f t="shared" si="1"/>
        <v>2339</v>
      </c>
    </row>
    <row r="41" spans="1:11" x14ac:dyDescent="0.35">
      <c r="A41" t="s">
        <v>87</v>
      </c>
      <c r="B41" s="2">
        <v>46050</v>
      </c>
      <c r="C41" t="s">
        <v>31</v>
      </c>
      <c r="D41" t="s">
        <v>20</v>
      </c>
      <c r="E41" t="s">
        <v>17</v>
      </c>
      <c r="F41" t="s">
        <v>33</v>
      </c>
      <c r="G41">
        <v>4</v>
      </c>
      <c r="H41">
        <v>15873</v>
      </c>
      <c r="I41">
        <v>63492</v>
      </c>
      <c r="J41" s="6" t="str">
        <f t="shared" si="0"/>
        <v>Jan</v>
      </c>
      <c r="K41">
        <f t="shared" si="1"/>
        <v>63492</v>
      </c>
    </row>
    <row r="42" spans="1:11" x14ac:dyDescent="0.35">
      <c r="A42" t="s">
        <v>88</v>
      </c>
      <c r="B42" s="2">
        <v>46078</v>
      </c>
      <c r="C42" t="s">
        <v>10</v>
      </c>
      <c r="D42" t="s">
        <v>20</v>
      </c>
      <c r="E42" t="s">
        <v>17</v>
      </c>
      <c r="F42" t="s">
        <v>13</v>
      </c>
      <c r="G42">
        <v>6</v>
      </c>
      <c r="H42">
        <v>14614</v>
      </c>
      <c r="I42">
        <v>87684</v>
      </c>
      <c r="J42" s="6" t="str">
        <f t="shared" si="0"/>
        <v>Feb</v>
      </c>
      <c r="K42">
        <f t="shared" si="1"/>
        <v>87684</v>
      </c>
    </row>
    <row r="43" spans="1:11" x14ac:dyDescent="0.35">
      <c r="A43" t="s">
        <v>89</v>
      </c>
      <c r="B43" s="2">
        <v>46239</v>
      </c>
      <c r="C43" t="s">
        <v>27</v>
      </c>
      <c r="D43" t="s">
        <v>28</v>
      </c>
      <c r="E43" t="s">
        <v>29</v>
      </c>
      <c r="F43" t="s">
        <v>36</v>
      </c>
      <c r="G43">
        <v>5</v>
      </c>
      <c r="H43">
        <v>2479</v>
      </c>
      <c r="I43">
        <v>12395</v>
      </c>
      <c r="J43" s="6" t="str">
        <f t="shared" si="0"/>
        <v>Aug</v>
      </c>
      <c r="K43">
        <f t="shared" si="1"/>
        <v>12395</v>
      </c>
    </row>
    <row r="44" spans="1:11" x14ac:dyDescent="0.35">
      <c r="A44" t="s">
        <v>90</v>
      </c>
      <c r="B44" s="2">
        <v>46061</v>
      </c>
      <c r="C44" t="s">
        <v>57</v>
      </c>
      <c r="D44" t="s">
        <v>91</v>
      </c>
      <c r="E44" t="s">
        <v>17</v>
      </c>
      <c r="F44" t="s">
        <v>18</v>
      </c>
      <c r="G44">
        <v>2</v>
      </c>
      <c r="H44">
        <v>12719</v>
      </c>
      <c r="I44">
        <v>25438</v>
      </c>
      <c r="J44" s="6" t="str">
        <f t="shared" si="0"/>
        <v>Feb</v>
      </c>
      <c r="K44">
        <f t="shared" si="1"/>
        <v>25438</v>
      </c>
    </row>
    <row r="45" spans="1:11" x14ac:dyDescent="0.35">
      <c r="A45" t="s">
        <v>92</v>
      </c>
      <c r="B45" s="2">
        <v>46299</v>
      </c>
      <c r="C45" t="s">
        <v>80</v>
      </c>
      <c r="D45" t="s">
        <v>46</v>
      </c>
      <c r="E45" t="s">
        <v>17</v>
      </c>
      <c r="F45" t="s">
        <v>33</v>
      </c>
      <c r="G45">
        <v>1</v>
      </c>
      <c r="H45">
        <v>22536</v>
      </c>
      <c r="I45">
        <v>22536</v>
      </c>
      <c r="J45" s="6" t="str">
        <f t="shared" si="0"/>
        <v>Oct</v>
      </c>
      <c r="K45">
        <f t="shared" si="1"/>
        <v>22536</v>
      </c>
    </row>
    <row r="46" spans="1:11" x14ac:dyDescent="0.35">
      <c r="A46" t="s">
        <v>93</v>
      </c>
      <c r="B46" s="2">
        <v>46269</v>
      </c>
      <c r="C46" t="s">
        <v>48</v>
      </c>
      <c r="D46" t="s">
        <v>28</v>
      </c>
      <c r="E46" t="s">
        <v>29</v>
      </c>
      <c r="F46" t="s">
        <v>25</v>
      </c>
      <c r="G46">
        <v>2</v>
      </c>
      <c r="H46">
        <v>2463</v>
      </c>
      <c r="I46">
        <v>4926</v>
      </c>
      <c r="J46" s="6" t="str">
        <f t="shared" si="0"/>
        <v>Sep</v>
      </c>
      <c r="K46">
        <f t="shared" si="1"/>
        <v>4926</v>
      </c>
    </row>
    <row r="47" spans="1:11" x14ac:dyDescent="0.35">
      <c r="A47" t="s">
        <v>94</v>
      </c>
      <c r="B47" s="2">
        <v>46222</v>
      </c>
      <c r="C47" t="s">
        <v>45</v>
      </c>
      <c r="D47" t="s">
        <v>39</v>
      </c>
      <c r="E47" t="s">
        <v>17</v>
      </c>
      <c r="F47" t="s">
        <v>25</v>
      </c>
      <c r="G47">
        <v>2</v>
      </c>
      <c r="H47">
        <v>44129</v>
      </c>
      <c r="I47">
        <v>88258</v>
      </c>
      <c r="J47" s="6" t="str">
        <f t="shared" si="0"/>
        <v>Jul</v>
      </c>
      <c r="K47">
        <f t="shared" si="1"/>
        <v>88258</v>
      </c>
    </row>
    <row r="48" spans="1:11" x14ac:dyDescent="0.35">
      <c r="A48" t="s">
        <v>95</v>
      </c>
      <c r="B48" s="2">
        <v>46307</v>
      </c>
      <c r="C48" t="s">
        <v>85</v>
      </c>
      <c r="D48" t="s">
        <v>59</v>
      </c>
      <c r="E48" t="s">
        <v>29</v>
      </c>
      <c r="F48" t="s">
        <v>13</v>
      </c>
      <c r="G48">
        <v>4</v>
      </c>
      <c r="H48">
        <v>1238</v>
      </c>
      <c r="I48">
        <v>4952</v>
      </c>
      <c r="J48" s="6" t="str">
        <f t="shared" si="0"/>
        <v>Oct</v>
      </c>
      <c r="K48">
        <f t="shared" si="1"/>
        <v>4952</v>
      </c>
    </row>
    <row r="49" spans="1:11" x14ac:dyDescent="0.35">
      <c r="A49" t="s">
        <v>96</v>
      </c>
      <c r="B49" s="2">
        <v>46052</v>
      </c>
      <c r="C49" t="s">
        <v>55</v>
      </c>
      <c r="D49" t="s">
        <v>28</v>
      </c>
      <c r="E49" t="s">
        <v>29</v>
      </c>
      <c r="F49" t="s">
        <v>18</v>
      </c>
      <c r="G49">
        <v>3</v>
      </c>
      <c r="H49">
        <v>2387</v>
      </c>
      <c r="I49">
        <v>7161</v>
      </c>
      <c r="J49" s="6" t="str">
        <f t="shared" si="0"/>
        <v>Jan</v>
      </c>
      <c r="K49">
        <f t="shared" si="1"/>
        <v>7161</v>
      </c>
    </row>
    <row r="50" spans="1:11" x14ac:dyDescent="0.35">
      <c r="A50" t="s">
        <v>97</v>
      </c>
      <c r="B50" s="2">
        <v>46048</v>
      </c>
      <c r="C50" t="s">
        <v>55</v>
      </c>
      <c r="D50" t="s">
        <v>39</v>
      </c>
      <c r="E50" t="s">
        <v>17</v>
      </c>
      <c r="F50" t="s">
        <v>25</v>
      </c>
      <c r="G50">
        <v>6</v>
      </c>
      <c r="H50">
        <v>43658</v>
      </c>
      <c r="I50">
        <v>261948</v>
      </c>
      <c r="J50" s="6" t="str">
        <f t="shared" si="0"/>
        <v>Jan</v>
      </c>
      <c r="K50">
        <f t="shared" si="1"/>
        <v>261948</v>
      </c>
    </row>
    <row r="51" spans="1:11" x14ac:dyDescent="0.35">
      <c r="A51" t="s">
        <v>98</v>
      </c>
      <c r="B51" s="2">
        <v>46283</v>
      </c>
      <c r="C51" t="s">
        <v>15</v>
      </c>
      <c r="D51" t="s">
        <v>42</v>
      </c>
      <c r="E51" t="s">
        <v>24</v>
      </c>
      <c r="F51" t="s">
        <v>13</v>
      </c>
      <c r="G51">
        <v>5</v>
      </c>
      <c r="H51">
        <v>8034</v>
      </c>
      <c r="I51">
        <v>40170</v>
      </c>
      <c r="J51" s="6" t="str">
        <f t="shared" si="0"/>
        <v>Sep</v>
      </c>
      <c r="K51">
        <f t="shared" si="1"/>
        <v>40170</v>
      </c>
    </row>
    <row r="52" spans="1:11" x14ac:dyDescent="0.35">
      <c r="A52" t="s">
        <v>99</v>
      </c>
      <c r="B52" s="2">
        <v>46143</v>
      </c>
      <c r="C52" t="s">
        <v>38</v>
      </c>
      <c r="D52" t="s">
        <v>46</v>
      </c>
      <c r="E52" t="s">
        <v>17</v>
      </c>
      <c r="F52" t="s">
        <v>33</v>
      </c>
      <c r="G52">
        <v>5</v>
      </c>
      <c r="H52">
        <v>20479</v>
      </c>
      <c r="I52">
        <v>102395</v>
      </c>
      <c r="J52" s="6" t="str">
        <f t="shared" si="0"/>
        <v>May</v>
      </c>
      <c r="K52">
        <f t="shared" si="1"/>
        <v>102395</v>
      </c>
    </row>
    <row r="53" spans="1:11" x14ac:dyDescent="0.35">
      <c r="A53" t="s">
        <v>100</v>
      </c>
      <c r="B53" s="2">
        <v>46043</v>
      </c>
      <c r="C53" t="s">
        <v>35</v>
      </c>
      <c r="D53" t="s">
        <v>23</v>
      </c>
      <c r="E53" t="s">
        <v>24</v>
      </c>
      <c r="F53" t="s">
        <v>33</v>
      </c>
      <c r="G53">
        <v>2</v>
      </c>
      <c r="H53">
        <v>7088</v>
      </c>
      <c r="I53">
        <v>14176</v>
      </c>
      <c r="J53" s="6" t="str">
        <f t="shared" si="0"/>
        <v>Jan</v>
      </c>
      <c r="K53">
        <f t="shared" si="1"/>
        <v>14176</v>
      </c>
    </row>
    <row r="54" spans="1:11" x14ac:dyDescent="0.35">
      <c r="A54" t="s">
        <v>101</v>
      </c>
      <c r="B54" s="2">
        <v>46290</v>
      </c>
      <c r="C54" t="s">
        <v>102</v>
      </c>
      <c r="D54" t="s">
        <v>20</v>
      </c>
      <c r="E54" t="s">
        <v>17</v>
      </c>
      <c r="F54" t="s">
        <v>36</v>
      </c>
      <c r="G54">
        <v>6</v>
      </c>
      <c r="H54">
        <v>15201</v>
      </c>
      <c r="I54">
        <v>91206</v>
      </c>
      <c r="J54" s="6" t="str">
        <f t="shared" si="0"/>
        <v>Sep</v>
      </c>
      <c r="K54">
        <f t="shared" si="1"/>
        <v>91206</v>
      </c>
    </row>
    <row r="55" spans="1:11" x14ac:dyDescent="0.35">
      <c r="A55" t="s">
        <v>103</v>
      </c>
      <c r="B55" s="2">
        <v>46145</v>
      </c>
      <c r="C55" t="s">
        <v>45</v>
      </c>
      <c r="D55" t="s">
        <v>28</v>
      </c>
      <c r="E55" t="s">
        <v>29</v>
      </c>
      <c r="F55" t="s">
        <v>25</v>
      </c>
      <c r="G55">
        <v>6</v>
      </c>
      <c r="H55">
        <v>2586</v>
      </c>
      <c r="I55">
        <v>15516</v>
      </c>
      <c r="J55" s="6" t="str">
        <f t="shared" si="0"/>
        <v>May</v>
      </c>
      <c r="K55">
        <f t="shared" si="1"/>
        <v>15516</v>
      </c>
    </row>
    <row r="56" spans="1:11" x14ac:dyDescent="0.35">
      <c r="A56" t="s">
        <v>104</v>
      </c>
      <c r="B56" s="2">
        <v>46257</v>
      </c>
      <c r="C56" t="s">
        <v>102</v>
      </c>
      <c r="D56" t="s">
        <v>16</v>
      </c>
      <c r="E56" t="s">
        <v>17</v>
      </c>
      <c r="F56" t="s">
        <v>33</v>
      </c>
      <c r="G56">
        <v>6</v>
      </c>
      <c r="H56">
        <v>18419</v>
      </c>
      <c r="I56">
        <v>110514</v>
      </c>
      <c r="J56" s="6" t="str">
        <f t="shared" si="0"/>
        <v>Aug</v>
      </c>
      <c r="K56">
        <f t="shared" si="1"/>
        <v>110514</v>
      </c>
    </row>
    <row r="57" spans="1:11" x14ac:dyDescent="0.35">
      <c r="A57" t="s">
        <v>105</v>
      </c>
      <c r="B57" s="2">
        <v>46311</v>
      </c>
      <c r="C57" t="s">
        <v>31</v>
      </c>
      <c r="D57" t="s">
        <v>39</v>
      </c>
      <c r="E57" t="s">
        <v>17</v>
      </c>
      <c r="F57" t="s">
        <v>33</v>
      </c>
      <c r="G57">
        <v>4</v>
      </c>
      <c r="H57">
        <v>45872</v>
      </c>
      <c r="I57">
        <v>183488</v>
      </c>
      <c r="J57" s="6" t="str">
        <f t="shared" si="0"/>
        <v>Oct</v>
      </c>
      <c r="K57">
        <f t="shared" si="1"/>
        <v>183488</v>
      </c>
    </row>
    <row r="58" spans="1:11" x14ac:dyDescent="0.35">
      <c r="A58" t="s">
        <v>106</v>
      </c>
      <c r="B58" s="2">
        <v>46090</v>
      </c>
      <c r="C58" t="s">
        <v>41</v>
      </c>
      <c r="D58" t="s">
        <v>42</v>
      </c>
      <c r="E58" t="s">
        <v>24</v>
      </c>
      <c r="F58" t="s">
        <v>33</v>
      </c>
      <c r="G58">
        <v>2</v>
      </c>
      <c r="H58">
        <v>8508</v>
      </c>
      <c r="I58">
        <v>17016</v>
      </c>
      <c r="J58" s="6" t="str">
        <f t="shared" si="0"/>
        <v>Mar</v>
      </c>
      <c r="K58">
        <f t="shared" si="1"/>
        <v>17016</v>
      </c>
    </row>
    <row r="59" spans="1:11" x14ac:dyDescent="0.35">
      <c r="A59" t="s">
        <v>107</v>
      </c>
      <c r="B59" s="2">
        <v>46247</v>
      </c>
      <c r="C59" t="s">
        <v>22</v>
      </c>
      <c r="D59" t="s">
        <v>28</v>
      </c>
      <c r="E59" t="s">
        <v>29</v>
      </c>
      <c r="F59" t="s">
        <v>36</v>
      </c>
      <c r="G59">
        <v>3</v>
      </c>
      <c r="H59">
        <v>2414</v>
      </c>
      <c r="I59">
        <v>7242</v>
      </c>
      <c r="J59" s="6" t="str">
        <f t="shared" si="0"/>
        <v>Aug</v>
      </c>
      <c r="K59">
        <f t="shared" si="1"/>
        <v>7242</v>
      </c>
    </row>
    <row r="60" spans="1:11" x14ac:dyDescent="0.35">
      <c r="A60" t="s">
        <v>108</v>
      </c>
      <c r="B60" s="2">
        <v>46364</v>
      </c>
      <c r="C60" t="s">
        <v>22</v>
      </c>
      <c r="D60" t="s">
        <v>23</v>
      </c>
      <c r="E60" t="s">
        <v>24</v>
      </c>
      <c r="F60" t="s">
        <v>36</v>
      </c>
      <c r="G60">
        <v>6</v>
      </c>
      <c r="H60">
        <v>7032</v>
      </c>
      <c r="I60">
        <v>42192</v>
      </c>
      <c r="J60" s="6" t="str">
        <f t="shared" si="0"/>
        <v>Dec</v>
      </c>
      <c r="K60">
        <f t="shared" si="1"/>
        <v>42192</v>
      </c>
    </row>
    <row r="61" spans="1:11" x14ac:dyDescent="0.35">
      <c r="A61" t="s">
        <v>109</v>
      </c>
      <c r="B61" s="2">
        <v>46091</v>
      </c>
      <c r="C61" t="s">
        <v>45</v>
      </c>
      <c r="D61" t="s">
        <v>11</v>
      </c>
      <c r="E61" t="s">
        <v>12</v>
      </c>
      <c r="F61" t="s">
        <v>33</v>
      </c>
      <c r="G61">
        <v>1</v>
      </c>
      <c r="H61">
        <v>1926</v>
      </c>
      <c r="I61">
        <v>1926</v>
      </c>
      <c r="J61" s="6" t="str">
        <f t="shared" si="0"/>
        <v>Mar</v>
      </c>
      <c r="K61">
        <f t="shared" si="1"/>
        <v>1926</v>
      </c>
    </row>
    <row r="62" spans="1:11" x14ac:dyDescent="0.35">
      <c r="A62" t="s">
        <v>110</v>
      </c>
      <c r="B62" s="2">
        <v>46162</v>
      </c>
      <c r="C62" t="s">
        <v>111</v>
      </c>
      <c r="D62" t="s">
        <v>46</v>
      </c>
      <c r="E62" t="s">
        <v>17</v>
      </c>
      <c r="F62" t="s">
        <v>18</v>
      </c>
      <c r="G62">
        <v>6</v>
      </c>
      <c r="H62">
        <v>22187</v>
      </c>
      <c r="I62">
        <v>133122</v>
      </c>
      <c r="J62" s="6" t="str">
        <f t="shared" si="0"/>
        <v>May</v>
      </c>
      <c r="K62">
        <f t="shared" si="1"/>
        <v>133122</v>
      </c>
    </row>
    <row r="63" spans="1:11" x14ac:dyDescent="0.35">
      <c r="A63" t="s">
        <v>112</v>
      </c>
      <c r="B63" s="2">
        <v>46374</v>
      </c>
      <c r="C63" t="s">
        <v>45</v>
      </c>
      <c r="D63" t="s">
        <v>28</v>
      </c>
      <c r="E63" t="s">
        <v>29</v>
      </c>
      <c r="F63" t="s">
        <v>18</v>
      </c>
      <c r="G63">
        <v>6</v>
      </c>
      <c r="H63">
        <v>2437</v>
      </c>
      <c r="I63">
        <v>14622</v>
      </c>
      <c r="J63" s="6" t="str">
        <f t="shared" si="0"/>
        <v>Dec</v>
      </c>
      <c r="K63">
        <f t="shared" si="1"/>
        <v>14622</v>
      </c>
    </row>
    <row r="64" spans="1:11" x14ac:dyDescent="0.35">
      <c r="A64" t="s">
        <v>113</v>
      </c>
      <c r="B64" s="2">
        <v>46049</v>
      </c>
      <c r="C64" t="s">
        <v>15</v>
      </c>
      <c r="D64" t="s">
        <v>91</v>
      </c>
      <c r="E64" t="s">
        <v>17</v>
      </c>
      <c r="F64" t="s">
        <v>25</v>
      </c>
      <c r="G64">
        <v>3</v>
      </c>
      <c r="H64">
        <v>12778</v>
      </c>
      <c r="I64">
        <v>38334</v>
      </c>
      <c r="J64" s="6" t="str">
        <f t="shared" si="0"/>
        <v>Jan</v>
      </c>
      <c r="K64">
        <f t="shared" si="1"/>
        <v>38334</v>
      </c>
    </row>
    <row r="65" spans="1:11" x14ac:dyDescent="0.35">
      <c r="A65" t="s">
        <v>114</v>
      </c>
      <c r="B65" s="2">
        <v>46089</v>
      </c>
      <c r="C65" t="s">
        <v>45</v>
      </c>
      <c r="D65" t="s">
        <v>59</v>
      </c>
      <c r="E65" t="s">
        <v>29</v>
      </c>
      <c r="F65" t="s">
        <v>13</v>
      </c>
      <c r="G65">
        <v>1</v>
      </c>
      <c r="H65">
        <v>1105</v>
      </c>
      <c r="I65">
        <v>1105</v>
      </c>
      <c r="J65" s="6" t="str">
        <f t="shared" si="0"/>
        <v>Mar</v>
      </c>
      <c r="K65">
        <f t="shared" si="1"/>
        <v>1105</v>
      </c>
    </row>
    <row r="66" spans="1:11" x14ac:dyDescent="0.35">
      <c r="A66" t="s">
        <v>115</v>
      </c>
      <c r="B66" s="2">
        <v>46241</v>
      </c>
      <c r="C66" t="s">
        <v>22</v>
      </c>
      <c r="D66" t="s">
        <v>50</v>
      </c>
      <c r="E66" t="s">
        <v>51</v>
      </c>
      <c r="F66" t="s">
        <v>33</v>
      </c>
      <c r="G66">
        <v>4</v>
      </c>
      <c r="H66">
        <v>252</v>
      </c>
      <c r="I66">
        <v>1008</v>
      </c>
      <c r="J66" s="6" t="str">
        <f t="shared" si="0"/>
        <v>Aug</v>
      </c>
      <c r="K66">
        <f t="shared" si="1"/>
        <v>1008</v>
      </c>
    </row>
    <row r="67" spans="1:11" x14ac:dyDescent="0.35">
      <c r="A67" t="s">
        <v>116</v>
      </c>
      <c r="B67" s="2">
        <v>46376</v>
      </c>
      <c r="C67" t="s">
        <v>75</v>
      </c>
      <c r="D67" t="s">
        <v>46</v>
      </c>
      <c r="E67" t="s">
        <v>17</v>
      </c>
      <c r="F67" t="s">
        <v>18</v>
      </c>
      <c r="G67">
        <v>1</v>
      </c>
      <c r="H67">
        <v>23567</v>
      </c>
      <c r="I67">
        <v>23567</v>
      </c>
      <c r="J67" s="6" t="str">
        <f t="shared" ref="J67:J130" si="2">TEXT(B67,"mmm")</f>
        <v>Dec</v>
      </c>
      <c r="K67">
        <f t="shared" ref="K67:K130" si="3">G67*H67</f>
        <v>23567</v>
      </c>
    </row>
    <row r="68" spans="1:11" x14ac:dyDescent="0.35">
      <c r="A68" t="s">
        <v>117</v>
      </c>
      <c r="B68" s="2">
        <v>46098</v>
      </c>
      <c r="C68" t="s">
        <v>64</v>
      </c>
      <c r="D68" t="s">
        <v>39</v>
      </c>
      <c r="E68" t="s">
        <v>17</v>
      </c>
      <c r="F68" t="s">
        <v>13</v>
      </c>
      <c r="G68">
        <v>3</v>
      </c>
      <c r="H68">
        <v>45594</v>
      </c>
      <c r="I68">
        <v>136782</v>
      </c>
      <c r="J68" s="6" t="str">
        <f t="shared" si="2"/>
        <v>Mar</v>
      </c>
      <c r="K68">
        <f t="shared" si="3"/>
        <v>136782</v>
      </c>
    </row>
    <row r="69" spans="1:11" x14ac:dyDescent="0.35">
      <c r="A69" t="s">
        <v>118</v>
      </c>
      <c r="B69" s="2">
        <v>46043</v>
      </c>
      <c r="C69" t="s">
        <v>41</v>
      </c>
      <c r="D69" t="s">
        <v>39</v>
      </c>
      <c r="E69" t="s">
        <v>17</v>
      </c>
      <c r="F69" t="s">
        <v>13</v>
      </c>
      <c r="G69">
        <v>3</v>
      </c>
      <c r="H69">
        <v>44025</v>
      </c>
      <c r="I69">
        <v>132075</v>
      </c>
      <c r="J69" s="6" t="str">
        <f t="shared" si="2"/>
        <v>Jan</v>
      </c>
      <c r="K69">
        <f t="shared" si="3"/>
        <v>132075</v>
      </c>
    </row>
    <row r="70" spans="1:11" x14ac:dyDescent="0.35">
      <c r="A70" t="s">
        <v>119</v>
      </c>
      <c r="B70" s="2">
        <v>46204</v>
      </c>
      <c r="C70" t="s">
        <v>22</v>
      </c>
      <c r="D70" t="s">
        <v>11</v>
      </c>
      <c r="E70" t="s">
        <v>12</v>
      </c>
      <c r="F70" t="s">
        <v>25</v>
      </c>
      <c r="G70">
        <v>2</v>
      </c>
      <c r="H70">
        <v>1848</v>
      </c>
      <c r="I70">
        <v>3696</v>
      </c>
      <c r="J70" s="6" t="str">
        <f t="shared" si="2"/>
        <v>Jul</v>
      </c>
      <c r="K70">
        <f t="shared" si="3"/>
        <v>3696</v>
      </c>
    </row>
    <row r="71" spans="1:11" x14ac:dyDescent="0.35">
      <c r="A71" t="s">
        <v>120</v>
      </c>
      <c r="B71" s="2">
        <v>46144</v>
      </c>
      <c r="C71" t="s">
        <v>27</v>
      </c>
      <c r="D71" t="s">
        <v>23</v>
      </c>
      <c r="E71" t="s">
        <v>24</v>
      </c>
      <c r="F71" t="s">
        <v>13</v>
      </c>
      <c r="G71">
        <v>6</v>
      </c>
      <c r="H71">
        <v>6613</v>
      </c>
      <c r="I71">
        <v>39678</v>
      </c>
      <c r="J71" s="6" t="str">
        <f t="shared" si="2"/>
        <v>May</v>
      </c>
      <c r="K71">
        <f t="shared" si="3"/>
        <v>39678</v>
      </c>
    </row>
    <row r="72" spans="1:11" x14ac:dyDescent="0.35">
      <c r="A72" t="s">
        <v>121</v>
      </c>
      <c r="B72" s="2">
        <v>46193</v>
      </c>
      <c r="C72" t="s">
        <v>64</v>
      </c>
      <c r="D72" t="s">
        <v>20</v>
      </c>
      <c r="E72" t="s">
        <v>17</v>
      </c>
      <c r="F72" t="s">
        <v>13</v>
      </c>
      <c r="G72">
        <v>1</v>
      </c>
      <c r="H72">
        <v>14230</v>
      </c>
      <c r="I72">
        <v>14230</v>
      </c>
      <c r="J72" s="6" t="str">
        <f t="shared" si="2"/>
        <v>Jun</v>
      </c>
      <c r="K72">
        <f t="shared" si="3"/>
        <v>14230</v>
      </c>
    </row>
    <row r="73" spans="1:11" x14ac:dyDescent="0.35">
      <c r="A73" t="s">
        <v>122</v>
      </c>
      <c r="B73" s="2">
        <v>46078</v>
      </c>
      <c r="C73" t="s">
        <v>38</v>
      </c>
      <c r="D73" t="s">
        <v>59</v>
      </c>
      <c r="E73" t="s">
        <v>29</v>
      </c>
      <c r="F73" t="s">
        <v>33</v>
      </c>
      <c r="G73">
        <v>2</v>
      </c>
      <c r="H73">
        <v>1255</v>
      </c>
      <c r="I73">
        <v>2510</v>
      </c>
      <c r="J73" s="6" t="str">
        <f t="shared" si="2"/>
        <v>Feb</v>
      </c>
      <c r="K73">
        <f t="shared" si="3"/>
        <v>2510</v>
      </c>
    </row>
    <row r="74" spans="1:11" x14ac:dyDescent="0.35">
      <c r="A74" t="s">
        <v>123</v>
      </c>
      <c r="B74" s="2">
        <v>46258</v>
      </c>
      <c r="C74" t="s">
        <v>41</v>
      </c>
      <c r="D74" t="s">
        <v>91</v>
      </c>
      <c r="E74" t="s">
        <v>17</v>
      </c>
      <c r="F74" t="s">
        <v>36</v>
      </c>
      <c r="G74">
        <v>2</v>
      </c>
      <c r="H74">
        <v>11423</v>
      </c>
      <c r="I74">
        <v>22846</v>
      </c>
      <c r="J74" s="6" t="str">
        <f t="shared" si="2"/>
        <v>Aug</v>
      </c>
      <c r="K74">
        <f t="shared" si="3"/>
        <v>22846</v>
      </c>
    </row>
    <row r="75" spans="1:11" x14ac:dyDescent="0.35">
      <c r="A75" t="s">
        <v>124</v>
      </c>
      <c r="B75" s="2">
        <v>46121</v>
      </c>
      <c r="C75" t="s">
        <v>38</v>
      </c>
      <c r="D75" t="s">
        <v>28</v>
      </c>
      <c r="E75" t="s">
        <v>29</v>
      </c>
      <c r="F75" t="s">
        <v>36</v>
      </c>
      <c r="G75">
        <v>2</v>
      </c>
      <c r="H75">
        <v>2309</v>
      </c>
      <c r="I75">
        <v>4618</v>
      </c>
      <c r="J75" s="6" t="str">
        <f t="shared" si="2"/>
        <v>Apr</v>
      </c>
      <c r="K75">
        <f t="shared" si="3"/>
        <v>4618</v>
      </c>
    </row>
    <row r="76" spans="1:11" x14ac:dyDescent="0.35">
      <c r="A76" t="s">
        <v>125</v>
      </c>
      <c r="B76" s="2">
        <v>46165</v>
      </c>
      <c r="C76" t="s">
        <v>41</v>
      </c>
      <c r="D76" t="s">
        <v>59</v>
      </c>
      <c r="E76" t="s">
        <v>29</v>
      </c>
      <c r="F76" t="s">
        <v>18</v>
      </c>
      <c r="G76">
        <v>1</v>
      </c>
      <c r="H76">
        <v>1290</v>
      </c>
      <c r="I76">
        <v>1290</v>
      </c>
      <c r="J76" s="6" t="str">
        <f t="shared" si="2"/>
        <v>May</v>
      </c>
      <c r="K76">
        <f t="shared" si="3"/>
        <v>1290</v>
      </c>
    </row>
    <row r="77" spans="1:11" x14ac:dyDescent="0.35">
      <c r="A77" t="s">
        <v>126</v>
      </c>
      <c r="B77" s="2">
        <v>46297</v>
      </c>
      <c r="C77" t="s">
        <v>102</v>
      </c>
      <c r="D77" t="s">
        <v>20</v>
      </c>
      <c r="E77" t="s">
        <v>17</v>
      </c>
      <c r="F77" t="s">
        <v>33</v>
      </c>
      <c r="G77">
        <v>6</v>
      </c>
      <c r="H77">
        <v>16155</v>
      </c>
      <c r="I77">
        <v>96930</v>
      </c>
      <c r="J77" s="6" t="str">
        <f t="shared" si="2"/>
        <v>Oct</v>
      </c>
      <c r="K77">
        <f t="shared" si="3"/>
        <v>96930</v>
      </c>
    </row>
    <row r="78" spans="1:11" x14ac:dyDescent="0.35">
      <c r="A78" t="s">
        <v>127</v>
      </c>
      <c r="B78" s="2">
        <v>46158</v>
      </c>
      <c r="C78" t="s">
        <v>62</v>
      </c>
      <c r="D78" t="s">
        <v>46</v>
      </c>
      <c r="E78" t="s">
        <v>17</v>
      </c>
      <c r="F78" t="s">
        <v>33</v>
      </c>
      <c r="G78">
        <v>3</v>
      </c>
      <c r="H78">
        <v>20869</v>
      </c>
      <c r="I78">
        <v>62607</v>
      </c>
      <c r="J78" s="6" t="str">
        <f t="shared" si="2"/>
        <v>May</v>
      </c>
      <c r="K78">
        <f t="shared" si="3"/>
        <v>62607</v>
      </c>
    </row>
    <row r="79" spans="1:11" x14ac:dyDescent="0.35">
      <c r="A79" t="s">
        <v>128</v>
      </c>
      <c r="B79" s="2">
        <v>46183</v>
      </c>
      <c r="C79" t="s">
        <v>64</v>
      </c>
      <c r="D79" t="s">
        <v>23</v>
      </c>
      <c r="E79" t="s">
        <v>24</v>
      </c>
      <c r="F79" t="s">
        <v>18</v>
      </c>
      <c r="G79">
        <v>4</v>
      </c>
      <c r="H79">
        <v>6827</v>
      </c>
      <c r="I79">
        <v>27308</v>
      </c>
      <c r="J79" s="6" t="str">
        <f t="shared" si="2"/>
        <v>Jun</v>
      </c>
      <c r="K79">
        <f t="shared" si="3"/>
        <v>27308</v>
      </c>
    </row>
    <row r="80" spans="1:11" x14ac:dyDescent="0.35">
      <c r="A80" t="s">
        <v>129</v>
      </c>
      <c r="B80" s="2">
        <v>46318</v>
      </c>
      <c r="C80" t="s">
        <v>48</v>
      </c>
      <c r="D80" t="s">
        <v>42</v>
      </c>
      <c r="E80" t="s">
        <v>24</v>
      </c>
      <c r="F80" t="s">
        <v>36</v>
      </c>
      <c r="G80">
        <v>1</v>
      </c>
      <c r="H80">
        <v>8344</v>
      </c>
      <c r="I80">
        <v>8344</v>
      </c>
      <c r="J80" s="6" t="str">
        <f t="shared" si="2"/>
        <v>Oct</v>
      </c>
      <c r="K80">
        <f t="shared" si="3"/>
        <v>8344</v>
      </c>
    </row>
    <row r="81" spans="1:11" x14ac:dyDescent="0.35">
      <c r="A81" t="s">
        <v>130</v>
      </c>
      <c r="B81" s="2">
        <v>46289</v>
      </c>
      <c r="C81" t="s">
        <v>22</v>
      </c>
      <c r="D81" t="s">
        <v>39</v>
      </c>
      <c r="E81" t="s">
        <v>17</v>
      </c>
      <c r="F81" t="s">
        <v>13</v>
      </c>
      <c r="G81">
        <v>6</v>
      </c>
      <c r="H81">
        <v>44540</v>
      </c>
      <c r="I81">
        <v>267240</v>
      </c>
      <c r="J81" s="6" t="str">
        <f t="shared" si="2"/>
        <v>Sep</v>
      </c>
      <c r="K81">
        <f t="shared" si="3"/>
        <v>267240</v>
      </c>
    </row>
    <row r="82" spans="1:11" x14ac:dyDescent="0.35">
      <c r="A82" t="s">
        <v>131</v>
      </c>
      <c r="B82" s="2">
        <v>46363</v>
      </c>
      <c r="C82" t="s">
        <v>102</v>
      </c>
      <c r="D82" t="s">
        <v>32</v>
      </c>
      <c r="E82" t="s">
        <v>29</v>
      </c>
      <c r="F82" t="s">
        <v>18</v>
      </c>
      <c r="G82">
        <v>4</v>
      </c>
      <c r="H82">
        <v>745</v>
      </c>
      <c r="I82">
        <v>2980</v>
      </c>
      <c r="J82" s="6" t="str">
        <f t="shared" si="2"/>
        <v>Dec</v>
      </c>
      <c r="K82">
        <f t="shared" si="3"/>
        <v>2980</v>
      </c>
    </row>
    <row r="83" spans="1:11" x14ac:dyDescent="0.35">
      <c r="A83" t="s">
        <v>132</v>
      </c>
      <c r="B83" s="2">
        <v>46176</v>
      </c>
      <c r="C83" t="s">
        <v>66</v>
      </c>
      <c r="D83" t="s">
        <v>32</v>
      </c>
      <c r="E83" t="s">
        <v>29</v>
      </c>
      <c r="F83" t="s">
        <v>36</v>
      </c>
      <c r="G83">
        <v>6</v>
      </c>
      <c r="H83">
        <v>845</v>
      </c>
      <c r="I83">
        <v>5070</v>
      </c>
      <c r="J83" s="6" t="str">
        <f t="shared" si="2"/>
        <v>Jun</v>
      </c>
      <c r="K83">
        <f t="shared" si="3"/>
        <v>5070</v>
      </c>
    </row>
    <row r="84" spans="1:11" x14ac:dyDescent="0.35">
      <c r="A84" t="s">
        <v>133</v>
      </c>
      <c r="B84" s="2">
        <v>46379</v>
      </c>
      <c r="C84" t="s">
        <v>111</v>
      </c>
      <c r="D84" t="s">
        <v>11</v>
      </c>
      <c r="E84" t="s">
        <v>12</v>
      </c>
      <c r="F84" t="s">
        <v>18</v>
      </c>
      <c r="G84">
        <v>4</v>
      </c>
      <c r="H84">
        <v>1750</v>
      </c>
      <c r="I84">
        <v>7000</v>
      </c>
      <c r="J84" s="6" t="str">
        <f t="shared" si="2"/>
        <v>Dec</v>
      </c>
      <c r="K84">
        <f t="shared" si="3"/>
        <v>7000</v>
      </c>
    </row>
    <row r="85" spans="1:11" x14ac:dyDescent="0.35">
      <c r="A85" t="s">
        <v>134</v>
      </c>
      <c r="B85" s="2">
        <v>46217</v>
      </c>
      <c r="C85" t="s">
        <v>27</v>
      </c>
      <c r="D85" t="s">
        <v>16</v>
      </c>
      <c r="E85" t="s">
        <v>17</v>
      </c>
      <c r="F85" t="s">
        <v>18</v>
      </c>
      <c r="G85">
        <v>2</v>
      </c>
      <c r="H85">
        <v>17771</v>
      </c>
      <c r="I85">
        <v>35542</v>
      </c>
      <c r="J85" s="6" t="str">
        <f t="shared" si="2"/>
        <v>Jul</v>
      </c>
      <c r="K85">
        <f t="shared" si="3"/>
        <v>35542</v>
      </c>
    </row>
    <row r="86" spans="1:11" x14ac:dyDescent="0.35">
      <c r="A86" t="s">
        <v>135</v>
      </c>
      <c r="B86" s="2">
        <v>46023</v>
      </c>
      <c r="C86" t="s">
        <v>111</v>
      </c>
      <c r="D86" t="s">
        <v>23</v>
      </c>
      <c r="E86" t="s">
        <v>24</v>
      </c>
      <c r="F86" t="s">
        <v>36</v>
      </c>
      <c r="G86">
        <v>3</v>
      </c>
      <c r="H86">
        <v>6895</v>
      </c>
      <c r="I86">
        <v>20685</v>
      </c>
      <c r="J86" s="6" t="str">
        <f t="shared" si="2"/>
        <v>Jan</v>
      </c>
      <c r="K86">
        <f t="shared" si="3"/>
        <v>20685</v>
      </c>
    </row>
    <row r="87" spans="1:11" x14ac:dyDescent="0.35">
      <c r="A87" t="s">
        <v>136</v>
      </c>
      <c r="B87" s="2">
        <v>46333</v>
      </c>
      <c r="C87" t="s">
        <v>102</v>
      </c>
      <c r="D87" t="s">
        <v>28</v>
      </c>
      <c r="E87" t="s">
        <v>29</v>
      </c>
      <c r="F87" t="s">
        <v>25</v>
      </c>
      <c r="G87">
        <v>4</v>
      </c>
      <c r="H87">
        <v>2614</v>
      </c>
      <c r="I87">
        <v>10456</v>
      </c>
      <c r="J87" s="6" t="str">
        <f t="shared" si="2"/>
        <v>Nov</v>
      </c>
      <c r="K87">
        <f t="shared" si="3"/>
        <v>10456</v>
      </c>
    </row>
    <row r="88" spans="1:11" x14ac:dyDescent="0.35">
      <c r="A88" t="s">
        <v>137</v>
      </c>
      <c r="B88" s="2">
        <v>46284</v>
      </c>
      <c r="C88" t="s">
        <v>85</v>
      </c>
      <c r="D88" t="s">
        <v>91</v>
      </c>
      <c r="E88" t="s">
        <v>17</v>
      </c>
      <c r="F88" t="s">
        <v>13</v>
      </c>
      <c r="G88">
        <v>4</v>
      </c>
      <c r="H88">
        <v>12337</v>
      </c>
      <c r="I88">
        <v>49348</v>
      </c>
      <c r="J88" s="6" t="str">
        <f t="shared" si="2"/>
        <v>Sep</v>
      </c>
      <c r="K88">
        <f t="shared" si="3"/>
        <v>49348</v>
      </c>
    </row>
    <row r="89" spans="1:11" x14ac:dyDescent="0.35">
      <c r="A89" t="s">
        <v>138</v>
      </c>
      <c r="B89" s="2">
        <v>46362</v>
      </c>
      <c r="C89" t="s">
        <v>35</v>
      </c>
      <c r="D89" t="s">
        <v>11</v>
      </c>
      <c r="E89" t="s">
        <v>12</v>
      </c>
      <c r="F89" t="s">
        <v>36</v>
      </c>
      <c r="G89">
        <v>1</v>
      </c>
      <c r="H89">
        <v>1738</v>
      </c>
      <c r="I89">
        <v>1738</v>
      </c>
      <c r="J89" s="6" t="str">
        <f t="shared" si="2"/>
        <v>Dec</v>
      </c>
      <c r="K89">
        <f t="shared" si="3"/>
        <v>1738</v>
      </c>
    </row>
    <row r="90" spans="1:11" x14ac:dyDescent="0.35">
      <c r="A90" t="s">
        <v>139</v>
      </c>
      <c r="B90" s="2">
        <v>46138</v>
      </c>
      <c r="C90" t="s">
        <v>48</v>
      </c>
      <c r="D90" t="s">
        <v>46</v>
      </c>
      <c r="E90" t="s">
        <v>17</v>
      </c>
      <c r="F90" t="s">
        <v>13</v>
      </c>
      <c r="G90">
        <v>2</v>
      </c>
      <c r="H90">
        <v>22608</v>
      </c>
      <c r="I90">
        <v>45216</v>
      </c>
      <c r="J90" s="6" t="str">
        <f t="shared" si="2"/>
        <v>Apr</v>
      </c>
      <c r="K90">
        <f t="shared" si="3"/>
        <v>45216</v>
      </c>
    </row>
    <row r="91" spans="1:11" x14ac:dyDescent="0.35">
      <c r="A91" t="s">
        <v>140</v>
      </c>
      <c r="B91" s="2">
        <v>46266</v>
      </c>
      <c r="C91" t="s">
        <v>35</v>
      </c>
      <c r="D91" t="s">
        <v>39</v>
      </c>
      <c r="E91" t="s">
        <v>17</v>
      </c>
      <c r="F91" t="s">
        <v>33</v>
      </c>
      <c r="G91">
        <v>1</v>
      </c>
      <c r="H91">
        <v>43163</v>
      </c>
      <c r="I91">
        <v>43163</v>
      </c>
      <c r="J91" s="6" t="str">
        <f t="shared" si="2"/>
        <v>Sep</v>
      </c>
      <c r="K91">
        <f t="shared" si="3"/>
        <v>43163</v>
      </c>
    </row>
    <row r="92" spans="1:11" x14ac:dyDescent="0.35">
      <c r="A92" t="s">
        <v>141</v>
      </c>
      <c r="B92" s="2">
        <v>46317</v>
      </c>
      <c r="C92" t="s">
        <v>48</v>
      </c>
      <c r="D92" t="s">
        <v>91</v>
      </c>
      <c r="E92" t="s">
        <v>17</v>
      </c>
      <c r="F92" t="s">
        <v>25</v>
      </c>
      <c r="G92">
        <v>4</v>
      </c>
      <c r="H92">
        <v>12741</v>
      </c>
      <c r="I92">
        <v>50964</v>
      </c>
      <c r="J92" s="6" t="str">
        <f t="shared" si="2"/>
        <v>Oct</v>
      </c>
      <c r="K92">
        <f t="shared" si="3"/>
        <v>50964</v>
      </c>
    </row>
    <row r="93" spans="1:11" x14ac:dyDescent="0.35">
      <c r="A93" t="s">
        <v>142</v>
      </c>
      <c r="B93" s="2">
        <v>46358</v>
      </c>
      <c r="C93" t="s">
        <v>80</v>
      </c>
      <c r="D93" t="s">
        <v>91</v>
      </c>
      <c r="E93" t="s">
        <v>17</v>
      </c>
      <c r="F93" t="s">
        <v>33</v>
      </c>
      <c r="G93">
        <v>4</v>
      </c>
      <c r="H93">
        <v>11508</v>
      </c>
      <c r="I93">
        <v>46032</v>
      </c>
      <c r="J93" s="6" t="str">
        <f t="shared" si="2"/>
        <v>Dec</v>
      </c>
      <c r="K93">
        <f t="shared" si="3"/>
        <v>46032</v>
      </c>
    </row>
    <row r="94" spans="1:11" x14ac:dyDescent="0.35">
      <c r="A94" t="s">
        <v>143</v>
      </c>
      <c r="B94" s="2">
        <v>46379</v>
      </c>
      <c r="C94" t="s">
        <v>66</v>
      </c>
      <c r="D94" t="s">
        <v>20</v>
      </c>
      <c r="E94" t="s">
        <v>17</v>
      </c>
      <c r="F94" t="s">
        <v>25</v>
      </c>
      <c r="G94">
        <v>2</v>
      </c>
      <c r="H94">
        <v>14222</v>
      </c>
      <c r="I94">
        <v>28444</v>
      </c>
      <c r="J94" s="6" t="str">
        <f t="shared" si="2"/>
        <v>Dec</v>
      </c>
      <c r="K94">
        <f t="shared" si="3"/>
        <v>28444</v>
      </c>
    </row>
    <row r="95" spans="1:11" x14ac:dyDescent="0.35">
      <c r="A95" t="s">
        <v>144</v>
      </c>
      <c r="B95" s="2">
        <v>46085</v>
      </c>
      <c r="C95" t="s">
        <v>57</v>
      </c>
      <c r="D95" t="s">
        <v>39</v>
      </c>
      <c r="E95" t="s">
        <v>17</v>
      </c>
      <c r="F95" t="s">
        <v>13</v>
      </c>
      <c r="G95">
        <v>5</v>
      </c>
      <c r="H95">
        <v>43194</v>
      </c>
      <c r="I95">
        <v>215970</v>
      </c>
      <c r="J95" s="6" t="str">
        <f t="shared" si="2"/>
        <v>Mar</v>
      </c>
      <c r="K95">
        <f t="shared" si="3"/>
        <v>215970</v>
      </c>
    </row>
    <row r="96" spans="1:11" x14ac:dyDescent="0.35">
      <c r="A96" t="s">
        <v>145</v>
      </c>
      <c r="B96" s="2">
        <v>46309</v>
      </c>
      <c r="C96" t="s">
        <v>35</v>
      </c>
      <c r="D96" t="s">
        <v>91</v>
      </c>
      <c r="E96" t="s">
        <v>17</v>
      </c>
      <c r="F96" t="s">
        <v>36</v>
      </c>
      <c r="G96">
        <v>6</v>
      </c>
      <c r="H96">
        <v>12060</v>
      </c>
      <c r="I96">
        <v>72360</v>
      </c>
      <c r="J96" s="6" t="str">
        <f t="shared" si="2"/>
        <v>Oct</v>
      </c>
      <c r="K96">
        <f t="shared" si="3"/>
        <v>72360</v>
      </c>
    </row>
    <row r="97" spans="1:11" x14ac:dyDescent="0.35">
      <c r="A97" t="s">
        <v>146</v>
      </c>
      <c r="B97" s="2">
        <v>46281</v>
      </c>
      <c r="C97" t="s">
        <v>64</v>
      </c>
      <c r="D97" t="s">
        <v>91</v>
      </c>
      <c r="E97" t="s">
        <v>17</v>
      </c>
      <c r="F97" t="s">
        <v>18</v>
      </c>
      <c r="G97">
        <v>5</v>
      </c>
      <c r="H97">
        <v>12605</v>
      </c>
      <c r="I97">
        <v>63025</v>
      </c>
      <c r="J97" s="6" t="str">
        <f t="shared" si="2"/>
        <v>Sep</v>
      </c>
      <c r="K97">
        <f t="shared" si="3"/>
        <v>63025</v>
      </c>
    </row>
    <row r="98" spans="1:11" x14ac:dyDescent="0.35">
      <c r="A98" t="s">
        <v>147</v>
      </c>
      <c r="B98" s="2">
        <v>46266</v>
      </c>
      <c r="C98" t="s">
        <v>57</v>
      </c>
      <c r="D98" t="s">
        <v>91</v>
      </c>
      <c r="E98" t="s">
        <v>17</v>
      </c>
      <c r="F98" t="s">
        <v>36</v>
      </c>
      <c r="G98">
        <v>2</v>
      </c>
      <c r="H98">
        <v>12468</v>
      </c>
      <c r="I98">
        <v>24936</v>
      </c>
      <c r="J98" s="6" t="str">
        <f t="shared" si="2"/>
        <v>Sep</v>
      </c>
      <c r="K98">
        <f t="shared" si="3"/>
        <v>24936</v>
      </c>
    </row>
    <row r="99" spans="1:11" x14ac:dyDescent="0.35">
      <c r="A99" t="s">
        <v>148</v>
      </c>
      <c r="B99" s="2">
        <v>46289</v>
      </c>
      <c r="C99" t="s">
        <v>85</v>
      </c>
      <c r="D99" t="s">
        <v>28</v>
      </c>
      <c r="E99" t="s">
        <v>29</v>
      </c>
      <c r="F99" t="s">
        <v>13</v>
      </c>
      <c r="G99">
        <v>6</v>
      </c>
      <c r="H99">
        <v>2411</v>
      </c>
      <c r="I99">
        <v>14466</v>
      </c>
      <c r="J99" s="6" t="str">
        <f t="shared" si="2"/>
        <v>Sep</v>
      </c>
      <c r="K99">
        <f t="shared" si="3"/>
        <v>14466</v>
      </c>
    </row>
    <row r="100" spans="1:11" x14ac:dyDescent="0.35">
      <c r="A100" t="s">
        <v>149</v>
      </c>
      <c r="B100" s="2">
        <v>46169</v>
      </c>
      <c r="C100" t="s">
        <v>10</v>
      </c>
      <c r="D100" t="s">
        <v>59</v>
      </c>
      <c r="E100" t="s">
        <v>29</v>
      </c>
      <c r="F100" t="s">
        <v>36</v>
      </c>
      <c r="G100">
        <v>4</v>
      </c>
      <c r="H100">
        <v>1119</v>
      </c>
      <c r="I100">
        <v>4476</v>
      </c>
      <c r="J100" s="6" t="str">
        <f t="shared" si="2"/>
        <v>May</v>
      </c>
      <c r="K100">
        <f t="shared" si="3"/>
        <v>4476</v>
      </c>
    </row>
    <row r="101" spans="1:11" x14ac:dyDescent="0.35">
      <c r="A101" t="s">
        <v>150</v>
      </c>
      <c r="B101" s="2">
        <v>46064</v>
      </c>
      <c r="C101" t="s">
        <v>75</v>
      </c>
      <c r="D101" t="s">
        <v>32</v>
      </c>
      <c r="E101" t="s">
        <v>29</v>
      </c>
      <c r="F101" t="s">
        <v>13</v>
      </c>
      <c r="G101">
        <v>3</v>
      </c>
      <c r="H101">
        <v>850</v>
      </c>
      <c r="I101">
        <v>2550</v>
      </c>
      <c r="J101" s="6" t="str">
        <f t="shared" si="2"/>
        <v>Feb</v>
      </c>
      <c r="K101">
        <f t="shared" si="3"/>
        <v>2550</v>
      </c>
    </row>
    <row r="102" spans="1:11" x14ac:dyDescent="0.35">
      <c r="A102" t="s">
        <v>151</v>
      </c>
      <c r="B102" s="2">
        <v>46384</v>
      </c>
      <c r="C102" t="s">
        <v>48</v>
      </c>
      <c r="D102" t="s">
        <v>28</v>
      </c>
      <c r="E102" t="s">
        <v>29</v>
      </c>
      <c r="F102" t="s">
        <v>33</v>
      </c>
      <c r="G102">
        <v>4</v>
      </c>
      <c r="H102">
        <v>2578</v>
      </c>
      <c r="I102">
        <v>10312</v>
      </c>
      <c r="J102" s="6" t="str">
        <f t="shared" si="2"/>
        <v>Dec</v>
      </c>
      <c r="K102">
        <f t="shared" si="3"/>
        <v>10312</v>
      </c>
    </row>
    <row r="103" spans="1:11" x14ac:dyDescent="0.35">
      <c r="A103" t="s">
        <v>152</v>
      </c>
      <c r="B103" s="2">
        <v>46261</v>
      </c>
      <c r="C103" t="s">
        <v>64</v>
      </c>
      <c r="D103" t="s">
        <v>20</v>
      </c>
      <c r="E103" t="s">
        <v>17</v>
      </c>
      <c r="F103" t="s">
        <v>33</v>
      </c>
      <c r="G103">
        <v>4</v>
      </c>
      <c r="H103">
        <v>14594</v>
      </c>
      <c r="I103">
        <v>58376</v>
      </c>
      <c r="J103" s="6" t="str">
        <f t="shared" si="2"/>
        <v>Aug</v>
      </c>
      <c r="K103">
        <f t="shared" si="3"/>
        <v>58376</v>
      </c>
    </row>
    <row r="104" spans="1:11" x14ac:dyDescent="0.35">
      <c r="A104" t="s">
        <v>153</v>
      </c>
      <c r="B104" s="2">
        <v>46322</v>
      </c>
      <c r="C104" t="s">
        <v>80</v>
      </c>
      <c r="D104" t="s">
        <v>28</v>
      </c>
      <c r="E104" t="s">
        <v>29</v>
      </c>
      <c r="F104" t="s">
        <v>18</v>
      </c>
      <c r="G104">
        <v>4</v>
      </c>
      <c r="H104">
        <v>2456</v>
      </c>
      <c r="I104">
        <v>9824</v>
      </c>
      <c r="J104" s="6" t="str">
        <f t="shared" si="2"/>
        <v>Oct</v>
      </c>
      <c r="K104">
        <f t="shared" si="3"/>
        <v>9824</v>
      </c>
    </row>
    <row r="105" spans="1:11" x14ac:dyDescent="0.35">
      <c r="A105" t="s">
        <v>154</v>
      </c>
      <c r="B105" s="2">
        <v>46203</v>
      </c>
      <c r="C105" t="s">
        <v>111</v>
      </c>
      <c r="D105" t="s">
        <v>20</v>
      </c>
      <c r="E105" t="s">
        <v>17</v>
      </c>
      <c r="F105" t="s">
        <v>25</v>
      </c>
      <c r="G105">
        <v>4</v>
      </c>
      <c r="H105">
        <v>13814</v>
      </c>
      <c r="I105">
        <v>55256</v>
      </c>
      <c r="J105" s="6" t="str">
        <f t="shared" si="2"/>
        <v>Jun</v>
      </c>
      <c r="K105">
        <f t="shared" si="3"/>
        <v>55256</v>
      </c>
    </row>
    <row r="106" spans="1:11" x14ac:dyDescent="0.35">
      <c r="A106" t="s">
        <v>155</v>
      </c>
      <c r="B106" s="2">
        <v>46302</v>
      </c>
      <c r="C106" t="s">
        <v>35</v>
      </c>
      <c r="D106" t="s">
        <v>20</v>
      </c>
      <c r="E106" t="s">
        <v>17</v>
      </c>
      <c r="F106" t="s">
        <v>13</v>
      </c>
      <c r="G106">
        <v>5</v>
      </c>
      <c r="H106">
        <v>15594</v>
      </c>
      <c r="I106">
        <v>77970</v>
      </c>
      <c r="J106" s="6" t="str">
        <f t="shared" si="2"/>
        <v>Oct</v>
      </c>
      <c r="K106">
        <f t="shared" si="3"/>
        <v>77970</v>
      </c>
    </row>
    <row r="107" spans="1:11" x14ac:dyDescent="0.35">
      <c r="A107" t="s">
        <v>156</v>
      </c>
      <c r="B107" s="2">
        <v>46271</v>
      </c>
      <c r="C107" t="s">
        <v>80</v>
      </c>
      <c r="D107" t="s">
        <v>91</v>
      </c>
      <c r="E107" t="s">
        <v>17</v>
      </c>
      <c r="F107" t="s">
        <v>25</v>
      </c>
      <c r="G107">
        <v>2</v>
      </c>
      <c r="H107">
        <v>11564</v>
      </c>
      <c r="I107">
        <v>23128</v>
      </c>
      <c r="J107" s="6" t="str">
        <f t="shared" si="2"/>
        <v>Sep</v>
      </c>
      <c r="K107">
        <f t="shared" si="3"/>
        <v>23128</v>
      </c>
    </row>
    <row r="108" spans="1:11" x14ac:dyDescent="0.35">
      <c r="A108" t="s">
        <v>157</v>
      </c>
      <c r="B108" s="2">
        <v>46230</v>
      </c>
      <c r="C108" t="s">
        <v>27</v>
      </c>
      <c r="D108" t="s">
        <v>32</v>
      </c>
      <c r="E108" t="s">
        <v>29</v>
      </c>
      <c r="F108" t="s">
        <v>25</v>
      </c>
      <c r="G108">
        <v>6</v>
      </c>
      <c r="H108">
        <v>823</v>
      </c>
      <c r="I108">
        <v>4938</v>
      </c>
      <c r="J108" s="6" t="str">
        <f t="shared" si="2"/>
        <v>Jul</v>
      </c>
      <c r="K108">
        <f t="shared" si="3"/>
        <v>4938</v>
      </c>
    </row>
    <row r="109" spans="1:11" x14ac:dyDescent="0.35">
      <c r="A109" t="s">
        <v>158</v>
      </c>
      <c r="B109" s="2">
        <v>46224</v>
      </c>
      <c r="C109" t="s">
        <v>55</v>
      </c>
      <c r="D109" t="s">
        <v>16</v>
      </c>
      <c r="E109" t="s">
        <v>17</v>
      </c>
      <c r="F109" t="s">
        <v>18</v>
      </c>
      <c r="G109">
        <v>5</v>
      </c>
      <c r="H109">
        <v>18098</v>
      </c>
      <c r="I109">
        <v>90490</v>
      </c>
      <c r="J109" s="6" t="str">
        <f t="shared" si="2"/>
        <v>Jul</v>
      </c>
      <c r="K109">
        <f t="shared" si="3"/>
        <v>90490</v>
      </c>
    </row>
    <row r="110" spans="1:11" x14ac:dyDescent="0.35">
      <c r="A110" t="s">
        <v>159</v>
      </c>
      <c r="B110" s="2">
        <v>46242</v>
      </c>
      <c r="C110" t="s">
        <v>75</v>
      </c>
      <c r="D110" t="s">
        <v>11</v>
      </c>
      <c r="E110" t="s">
        <v>12</v>
      </c>
      <c r="F110" t="s">
        <v>25</v>
      </c>
      <c r="G110">
        <v>1</v>
      </c>
      <c r="H110">
        <v>1680</v>
      </c>
      <c r="I110">
        <v>1680</v>
      </c>
      <c r="J110" s="6" t="str">
        <f t="shared" si="2"/>
        <v>Aug</v>
      </c>
      <c r="K110">
        <f t="shared" si="3"/>
        <v>1680</v>
      </c>
    </row>
    <row r="111" spans="1:11" x14ac:dyDescent="0.35">
      <c r="A111" t="s">
        <v>160</v>
      </c>
      <c r="B111" s="2">
        <v>46190</v>
      </c>
      <c r="C111" t="s">
        <v>48</v>
      </c>
      <c r="D111" t="s">
        <v>16</v>
      </c>
      <c r="E111" t="s">
        <v>17</v>
      </c>
      <c r="F111" t="s">
        <v>25</v>
      </c>
      <c r="G111">
        <v>1</v>
      </c>
      <c r="H111">
        <v>17309</v>
      </c>
      <c r="I111">
        <v>17309</v>
      </c>
      <c r="J111" s="6" t="str">
        <f t="shared" si="2"/>
        <v>Jun</v>
      </c>
      <c r="K111">
        <f t="shared" si="3"/>
        <v>17309</v>
      </c>
    </row>
    <row r="112" spans="1:11" x14ac:dyDescent="0.35">
      <c r="A112" t="s">
        <v>161</v>
      </c>
      <c r="B112" s="2">
        <v>46217</v>
      </c>
      <c r="C112" t="s">
        <v>45</v>
      </c>
      <c r="D112" t="s">
        <v>32</v>
      </c>
      <c r="E112" t="s">
        <v>29</v>
      </c>
      <c r="F112" t="s">
        <v>25</v>
      </c>
      <c r="G112">
        <v>3</v>
      </c>
      <c r="H112">
        <v>833</v>
      </c>
      <c r="I112">
        <v>2499</v>
      </c>
      <c r="J112" s="6" t="str">
        <f t="shared" si="2"/>
        <v>Jul</v>
      </c>
      <c r="K112">
        <f t="shared" si="3"/>
        <v>2499</v>
      </c>
    </row>
    <row r="113" spans="1:11" x14ac:dyDescent="0.35">
      <c r="A113" t="s">
        <v>162</v>
      </c>
      <c r="B113" s="2">
        <v>46299</v>
      </c>
      <c r="C113" t="s">
        <v>62</v>
      </c>
      <c r="D113" t="s">
        <v>59</v>
      </c>
      <c r="E113" t="s">
        <v>29</v>
      </c>
      <c r="F113" t="s">
        <v>36</v>
      </c>
      <c r="G113">
        <v>1</v>
      </c>
      <c r="H113">
        <v>1194</v>
      </c>
      <c r="I113">
        <v>1194</v>
      </c>
      <c r="J113" s="6" t="str">
        <f t="shared" si="2"/>
        <v>Oct</v>
      </c>
      <c r="K113">
        <f t="shared" si="3"/>
        <v>1194</v>
      </c>
    </row>
    <row r="114" spans="1:11" x14ac:dyDescent="0.35">
      <c r="A114" t="s">
        <v>163</v>
      </c>
      <c r="B114" s="2">
        <v>46356</v>
      </c>
      <c r="C114" t="s">
        <v>62</v>
      </c>
      <c r="D114" t="s">
        <v>28</v>
      </c>
      <c r="E114" t="s">
        <v>29</v>
      </c>
      <c r="F114" t="s">
        <v>33</v>
      </c>
      <c r="G114">
        <v>6</v>
      </c>
      <c r="H114">
        <v>2327</v>
      </c>
      <c r="I114">
        <v>13962</v>
      </c>
      <c r="J114" s="6" t="str">
        <f t="shared" si="2"/>
        <v>Nov</v>
      </c>
      <c r="K114">
        <f t="shared" si="3"/>
        <v>13962</v>
      </c>
    </row>
    <row r="115" spans="1:11" x14ac:dyDescent="0.35">
      <c r="A115" t="s">
        <v>164</v>
      </c>
      <c r="B115" s="2">
        <v>46341</v>
      </c>
      <c r="C115" t="s">
        <v>75</v>
      </c>
      <c r="D115" t="s">
        <v>28</v>
      </c>
      <c r="E115" t="s">
        <v>29</v>
      </c>
      <c r="F115" t="s">
        <v>13</v>
      </c>
      <c r="G115">
        <v>2</v>
      </c>
      <c r="H115">
        <v>2636</v>
      </c>
      <c r="I115">
        <v>5272</v>
      </c>
      <c r="J115" s="6" t="str">
        <f t="shared" si="2"/>
        <v>Nov</v>
      </c>
      <c r="K115">
        <f t="shared" si="3"/>
        <v>5272</v>
      </c>
    </row>
    <row r="116" spans="1:11" x14ac:dyDescent="0.35">
      <c r="A116" t="s">
        <v>165</v>
      </c>
      <c r="B116" s="2">
        <v>46311</v>
      </c>
      <c r="C116" t="s">
        <v>48</v>
      </c>
      <c r="D116" t="s">
        <v>16</v>
      </c>
      <c r="E116" t="s">
        <v>17</v>
      </c>
      <c r="F116" t="s">
        <v>25</v>
      </c>
      <c r="G116">
        <v>4</v>
      </c>
      <c r="H116">
        <v>18488</v>
      </c>
      <c r="I116">
        <v>73952</v>
      </c>
      <c r="J116" s="6" t="str">
        <f t="shared" si="2"/>
        <v>Oct</v>
      </c>
      <c r="K116">
        <f t="shared" si="3"/>
        <v>73952</v>
      </c>
    </row>
    <row r="117" spans="1:11" x14ac:dyDescent="0.35">
      <c r="A117" t="s">
        <v>166</v>
      </c>
      <c r="B117" s="2">
        <v>46108</v>
      </c>
      <c r="C117" t="s">
        <v>35</v>
      </c>
      <c r="D117" t="s">
        <v>50</v>
      </c>
      <c r="E117" t="s">
        <v>51</v>
      </c>
      <c r="F117" t="s">
        <v>18</v>
      </c>
      <c r="G117">
        <v>3</v>
      </c>
      <c r="H117">
        <v>261</v>
      </c>
      <c r="I117">
        <v>783</v>
      </c>
      <c r="J117" s="6" t="str">
        <f t="shared" si="2"/>
        <v>Mar</v>
      </c>
      <c r="K117">
        <f t="shared" si="3"/>
        <v>783</v>
      </c>
    </row>
    <row r="118" spans="1:11" x14ac:dyDescent="0.35">
      <c r="A118" t="s">
        <v>167</v>
      </c>
      <c r="B118" s="2">
        <v>46106</v>
      </c>
      <c r="C118" t="s">
        <v>111</v>
      </c>
      <c r="D118" t="s">
        <v>50</v>
      </c>
      <c r="E118" t="s">
        <v>51</v>
      </c>
      <c r="F118" t="s">
        <v>33</v>
      </c>
      <c r="G118">
        <v>6</v>
      </c>
      <c r="H118">
        <v>235</v>
      </c>
      <c r="I118">
        <v>1410</v>
      </c>
      <c r="J118" s="6" t="str">
        <f t="shared" si="2"/>
        <v>Mar</v>
      </c>
      <c r="K118">
        <f t="shared" si="3"/>
        <v>1410</v>
      </c>
    </row>
    <row r="119" spans="1:11" x14ac:dyDescent="0.35">
      <c r="A119" t="s">
        <v>168</v>
      </c>
      <c r="B119" s="2">
        <v>46317</v>
      </c>
      <c r="C119" t="s">
        <v>38</v>
      </c>
      <c r="D119" t="s">
        <v>23</v>
      </c>
      <c r="E119" t="s">
        <v>24</v>
      </c>
      <c r="F119" t="s">
        <v>25</v>
      </c>
      <c r="G119">
        <v>1</v>
      </c>
      <c r="H119">
        <v>7480</v>
      </c>
      <c r="I119">
        <v>7480</v>
      </c>
      <c r="J119" s="6" t="str">
        <f t="shared" si="2"/>
        <v>Oct</v>
      </c>
      <c r="K119">
        <f t="shared" si="3"/>
        <v>7480</v>
      </c>
    </row>
    <row r="120" spans="1:11" x14ac:dyDescent="0.35">
      <c r="A120" t="s">
        <v>169</v>
      </c>
      <c r="B120" s="2">
        <v>46376</v>
      </c>
      <c r="C120" t="s">
        <v>10</v>
      </c>
      <c r="D120" t="s">
        <v>50</v>
      </c>
      <c r="E120" t="s">
        <v>51</v>
      </c>
      <c r="F120" t="s">
        <v>33</v>
      </c>
      <c r="G120">
        <v>2</v>
      </c>
      <c r="H120">
        <v>233</v>
      </c>
      <c r="I120">
        <v>466</v>
      </c>
      <c r="J120" s="6" t="str">
        <f t="shared" si="2"/>
        <v>Dec</v>
      </c>
      <c r="K120">
        <f t="shared" si="3"/>
        <v>466</v>
      </c>
    </row>
    <row r="121" spans="1:11" x14ac:dyDescent="0.35">
      <c r="A121" t="s">
        <v>170</v>
      </c>
      <c r="B121" s="2">
        <v>46330</v>
      </c>
      <c r="C121" t="s">
        <v>31</v>
      </c>
      <c r="D121" t="s">
        <v>50</v>
      </c>
      <c r="E121" t="s">
        <v>51</v>
      </c>
      <c r="F121" t="s">
        <v>18</v>
      </c>
      <c r="G121">
        <v>3</v>
      </c>
      <c r="H121">
        <v>264</v>
      </c>
      <c r="I121">
        <v>792</v>
      </c>
      <c r="J121" s="6" t="str">
        <f t="shared" si="2"/>
        <v>Nov</v>
      </c>
      <c r="K121">
        <f t="shared" si="3"/>
        <v>792</v>
      </c>
    </row>
    <row r="122" spans="1:11" x14ac:dyDescent="0.35">
      <c r="A122" t="s">
        <v>171</v>
      </c>
      <c r="B122" s="2">
        <v>46361</v>
      </c>
      <c r="C122" t="s">
        <v>41</v>
      </c>
      <c r="D122" t="s">
        <v>39</v>
      </c>
      <c r="E122" t="s">
        <v>17</v>
      </c>
      <c r="F122" t="s">
        <v>33</v>
      </c>
      <c r="G122">
        <v>3</v>
      </c>
      <c r="H122">
        <v>45236</v>
      </c>
      <c r="I122">
        <v>135708</v>
      </c>
      <c r="J122" s="6" t="str">
        <f t="shared" si="2"/>
        <v>Dec</v>
      </c>
      <c r="K122">
        <f t="shared" si="3"/>
        <v>135708</v>
      </c>
    </row>
    <row r="123" spans="1:11" x14ac:dyDescent="0.35">
      <c r="A123" t="s">
        <v>172</v>
      </c>
      <c r="B123" s="2">
        <v>46238</v>
      </c>
      <c r="C123" t="s">
        <v>85</v>
      </c>
      <c r="D123" t="s">
        <v>42</v>
      </c>
      <c r="E123" t="s">
        <v>24</v>
      </c>
      <c r="F123" t="s">
        <v>33</v>
      </c>
      <c r="G123">
        <v>6</v>
      </c>
      <c r="H123">
        <v>8284</v>
      </c>
      <c r="I123">
        <v>49704</v>
      </c>
      <c r="J123" s="6" t="str">
        <f t="shared" si="2"/>
        <v>Aug</v>
      </c>
      <c r="K123">
        <f t="shared" si="3"/>
        <v>49704</v>
      </c>
    </row>
    <row r="124" spans="1:11" x14ac:dyDescent="0.35">
      <c r="A124" t="s">
        <v>173</v>
      </c>
      <c r="B124" s="2">
        <v>46258</v>
      </c>
      <c r="C124" t="s">
        <v>75</v>
      </c>
      <c r="D124" t="s">
        <v>20</v>
      </c>
      <c r="E124" t="s">
        <v>17</v>
      </c>
      <c r="F124" t="s">
        <v>25</v>
      </c>
      <c r="G124">
        <v>3</v>
      </c>
      <c r="H124">
        <v>15325</v>
      </c>
      <c r="I124">
        <v>45975</v>
      </c>
      <c r="J124" s="6" t="str">
        <f t="shared" si="2"/>
        <v>Aug</v>
      </c>
      <c r="K124">
        <f t="shared" si="3"/>
        <v>45975</v>
      </c>
    </row>
    <row r="125" spans="1:11" x14ac:dyDescent="0.35">
      <c r="A125" t="s">
        <v>174</v>
      </c>
      <c r="B125" s="2">
        <v>46356</v>
      </c>
      <c r="C125" t="s">
        <v>45</v>
      </c>
      <c r="D125" t="s">
        <v>16</v>
      </c>
      <c r="E125" t="s">
        <v>17</v>
      </c>
      <c r="F125" t="s">
        <v>18</v>
      </c>
      <c r="G125">
        <v>6</v>
      </c>
      <c r="H125">
        <v>18063</v>
      </c>
      <c r="I125">
        <v>108378</v>
      </c>
      <c r="J125" s="6" t="str">
        <f t="shared" si="2"/>
        <v>Nov</v>
      </c>
      <c r="K125">
        <f t="shared" si="3"/>
        <v>108378</v>
      </c>
    </row>
    <row r="126" spans="1:11" x14ac:dyDescent="0.35">
      <c r="A126" t="s">
        <v>175</v>
      </c>
      <c r="B126" s="2">
        <v>46326</v>
      </c>
      <c r="C126" t="s">
        <v>45</v>
      </c>
      <c r="D126" t="s">
        <v>42</v>
      </c>
      <c r="E126" t="s">
        <v>24</v>
      </c>
      <c r="F126" t="s">
        <v>36</v>
      </c>
      <c r="G126">
        <v>4</v>
      </c>
      <c r="H126">
        <v>8452</v>
      </c>
      <c r="I126">
        <v>33808</v>
      </c>
      <c r="J126" s="6" t="str">
        <f t="shared" si="2"/>
        <v>Oct</v>
      </c>
      <c r="K126">
        <f t="shared" si="3"/>
        <v>33808</v>
      </c>
    </row>
    <row r="127" spans="1:11" x14ac:dyDescent="0.35">
      <c r="A127" t="s">
        <v>176</v>
      </c>
      <c r="B127" s="2">
        <v>46253</v>
      </c>
      <c r="C127" t="s">
        <v>10</v>
      </c>
      <c r="D127" t="s">
        <v>28</v>
      </c>
      <c r="E127" t="s">
        <v>29</v>
      </c>
      <c r="F127" t="s">
        <v>25</v>
      </c>
      <c r="G127">
        <v>1</v>
      </c>
      <c r="H127">
        <v>2412</v>
      </c>
      <c r="I127">
        <v>2412</v>
      </c>
      <c r="J127" s="6" t="str">
        <f t="shared" si="2"/>
        <v>Aug</v>
      </c>
      <c r="K127">
        <f t="shared" si="3"/>
        <v>2412</v>
      </c>
    </row>
    <row r="128" spans="1:11" x14ac:dyDescent="0.35">
      <c r="A128" t="s">
        <v>177</v>
      </c>
      <c r="B128" s="2">
        <v>46195</v>
      </c>
      <c r="C128" t="s">
        <v>80</v>
      </c>
      <c r="D128" t="s">
        <v>23</v>
      </c>
      <c r="E128" t="s">
        <v>24</v>
      </c>
      <c r="F128" t="s">
        <v>25</v>
      </c>
      <c r="G128">
        <v>5</v>
      </c>
      <c r="H128">
        <v>7188</v>
      </c>
      <c r="I128">
        <v>35940</v>
      </c>
      <c r="J128" s="6" t="str">
        <f t="shared" si="2"/>
        <v>Jun</v>
      </c>
      <c r="K128">
        <f t="shared" si="3"/>
        <v>35940</v>
      </c>
    </row>
    <row r="129" spans="1:11" x14ac:dyDescent="0.35">
      <c r="A129" t="s">
        <v>178</v>
      </c>
      <c r="B129" s="2">
        <v>46204</v>
      </c>
      <c r="C129" t="s">
        <v>45</v>
      </c>
      <c r="D129" t="s">
        <v>32</v>
      </c>
      <c r="E129" t="s">
        <v>29</v>
      </c>
      <c r="F129" t="s">
        <v>36</v>
      </c>
      <c r="G129">
        <v>2</v>
      </c>
      <c r="H129">
        <v>798</v>
      </c>
      <c r="I129">
        <v>1596</v>
      </c>
      <c r="J129" s="6" t="str">
        <f t="shared" si="2"/>
        <v>Jul</v>
      </c>
      <c r="K129">
        <f t="shared" si="3"/>
        <v>1596</v>
      </c>
    </row>
    <row r="130" spans="1:11" x14ac:dyDescent="0.35">
      <c r="A130" t="s">
        <v>179</v>
      </c>
      <c r="B130" s="2">
        <v>46164</v>
      </c>
      <c r="C130" t="s">
        <v>22</v>
      </c>
      <c r="D130" t="s">
        <v>59</v>
      </c>
      <c r="E130" t="s">
        <v>29</v>
      </c>
      <c r="F130" t="s">
        <v>33</v>
      </c>
      <c r="G130">
        <v>5</v>
      </c>
      <c r="H130">
        <v>1239</v>
      </c>
      <c r="I130">
        <v>6195</v>
      </c>
      <c r="J130" s="6" t="str">
        <f t="shared" si="2"/>
        <v>May</v>
      </c>
      <c r="K130">
        <f t="shared" si="3"/>
        <v>6195</v>
      </c>
    </row>
    <row r="131" spans="1:11" x14ac:dyDescent="0.35">
      <c r="A131" t="s">
        <v>180</v>
      </c>
      <c r="B131" s="2">
        <v>46231</v>
      </c>
      <c r="C131" t="s">
        <v>85</v>
      </c>
      <c r="D131" t="s">
        <v>42</v>
      </c>
      <c r="E131" t="s">
        <v>24</v>
      </c>
      <c r="F131" t="s">
        <v>18</v>
      </c>
      <c r="G131">
        <v>2</v>
      </c>
      <c r="H131">
        <v>7936</v>
      </c>
      <c r="I131">
        <v>15872</v>
      </c>
      <c r="J131" s="6" t="str">
        <f t="shared" ref="J131:J194" si="4">TEXT(B131,"mmm")</f>
        <v>Jul</v>
      </c>
      <c r="K131">
        <f t="shared" ref="K131:K194" si="5">G131*H131</f>
        <v>15872</v>
      </c>
    </row>
    <row r="132" spans="1:11" x14ac:dyDescent="0.35">
      <c r="A132" t="s">
        <v>181</v>
      </c>
      <c r="B132" s="2">
        <v>46387</v>
      </c>
      <c r="C132" t="s">
        <v>85</v>
      </c>
      <c r="D132" t="s">
        <v>28</v>
      </c>
      <c r="E132" t="s">
        <v>29</v>
      </c>
      <c r="F132" t="s">
        <v>25</v>
      </c>
      <c r="G132">
        <v>6</v>
      </c>
      <c r="H132">
        <v>2490</v>
      </c>
      <c r="I132">
        <v>14940</v>
      </c>
      <c r="J132" s="6" t="str">
        <f t="shared" si="4"/>
        <v>Dec</v>
      </c>
      <c r="K132">
        <f t="shared" si="5"/>
        <v>14940</v>
      </c>
    </row>
    <row r="133" spans="1:11" x14ac:dyDescent="0.35">
      <c r="A133" t="s">
        <v>182</v>
      </c>
      <c r="B133" s="2">
        <v>46230</v>
      </c>
      <c r="C133" t="s">
        <v>10</v>
      </c>
      <c r="D133" t="s">
        <v>39</v>
      </c>
      <c r="E133" t="s">
        <v>17</v>
      </c>
      <c r="F133" t="s">
        <v>36</v>
      </c>
      <c r="G133">
        <v>1</v>
      </c>
      <c r="H133">
        <v>43518</v>
      </c>
      <c r="I133">
        <v>43518</v>
      </c>
      <c r="J133" s="6" t="str">
        <f t="shared" si="4"/>
        <v>Jul</v>
      </c>
      <c r="K133">
        <f t="shared" si="5"/>
        <v>43518</v>
      </c>
    </row>
    <row r="134" spans="1:11" x14ac:dyDescent="0.35">
      <c r="A134" t="s">
        <v>183</v>
      </c>
      <c r="B134" s="2">
        <v>46306</v>
      </c>
      <c r="C134" t="s">
        <v>66</v>
      </c>
      <c r="D134" t="s">
        <v>11</v>
      </c>
      <c r="E134" t="s">
        <v>12</v>
      </c>
      <c r="F134" t="s">
        <v>36</v>
      </c>
      <c r="G134">
        <v>5</v>
      </c>
      <c r="H134">
        <v>1762</v>
      </c>
      <c r="I134">
        <v>8810</v>
      </c>
      <c r="J134" s="6" t="str">
        <f t="shared" si="4"/>
        <v>Oct</v>
      </c>
      <c r="K134">
        <f t="shared" si="5"/>
        <v>8810</v>
      </c>
    </row>
    <row r="135" spans="1:11" x14ac:dyDescent="0.35">
      <c r="A135" t="s">
        <v>184</v>
      </c>
      <c r="B135" s="2">
        <v>46203</v>
      </c>
      <c r="C135" t="s">
        <v>57</v>
      </c>
      <c r="D135" t="s">
        <v>20</v>
      </c>
      <c r="E135" t="s">
        <v>17</v>
      </c>
      <c r="F135" t="s">
        <v>36</v>
      </c>
      <c r="G135">
        <v>6</v>
      </c>
      <c r="H135">
        <v>15121</v>
      </c>
      <c r="I135">
        <v>90726</v>
      </c>
      <c r="J135" s="6" t="str">
        <f t="shared" si="4"/>
        <v>Jun</v>
      </c>
      <c r="K135">
        <f t="shared" si="5"/>
        <v>90726</v>
      </c>
    </row>
    <row r="136" spans="1:11" x14ac:dyDescent="0.35">
      <c r="A136" t="s">
        <v>185</v>
      </c>
      <c r="B136" s="2">
        <v>46121</v>
      </c>
      <c r="C136" t="s">
        <v>102</v>
      </c>
      <c r="D136" t="s">
        <v>59</v>
      </c>
      <c r="E136" t="s">
        <v>29</v>
      </c>
      <c r="F136" t="s">
        <v>33</v>
      </c>
      <c r="G136">
        <v>3</v>
      </c>
      <c r="H136">
        <v>1148</v>
      </c>
      <c r="I136">
        <v>3444</v>
      </c>
      <c r="J136" s="6" t="str">
        <f t="shared" si="4"/>
        <v>Apr</v>
      </c>
      <c r="K136">
        <f t="shared" si="5"/>
        <v>3444</v>
      </c>
    </row>
    <row r="137" spans="1:11" x14ac:dyDescent="0.35">
      <c r="A137" t="s">
        <v>186</v>
      </c>
      <c r="B137" s="2">
        <v>46376</v>
      </c>
      <c r="C137" t="s">
        <v>27</v>
      </c>
      <c r="D137" t="s">
        <v>50</v>
      </c>
      <c r="E137" t="s">
        <v>51</v>
      </c>
      <c r="F137" t="s">
        <v>13</v>
      </c>
      <c r="G137">
        <v>5</v>
      </c>
      <c r="H137">
        <v>268</v>
      </c>
      <c r="I137">
        <v>1340</v>
      </c>
      <c r="J137" s="6" t="str">
        <f t="shared" si="4"/>
        <v>Dec</v>
      </c>
      <c r="K137">
        <f t="shared" si="5"/>
        <v>1340</v>
      </c>
    </row>
    <row r="138" spans="1:11" x14ac:dyDescent="0.35">
      <c r="A138" t="s">
        <v>187</v>
      </c>
      <c r="B138" s="2">
        <v>46324</v>
      </c>
      <c r="C138" t="s">
        <v>66</v>
      </c>
      <c r="D138" t="s">
        <v>28</v>
      </c>
      <c r="E138" t="s">
        <v>29</v>
      </c>
      <c r="F138" t="s">
        <v>18</v>
      </c>
      <c r="G138">
        <v>6</v>
      </c>
      <c r="H138">
        <v>2494</v>
      </c>
      <c r="I138">
        <v>14964</v>
      </c>
      <c r="J138" s="6" t="str">
        <f t="shared" si="4"/>
        <v>Oct</v>
      </c>
      <c r="K138">
        <f t="shared" si="5"/>
        <v>14964</v>
      </c>
    </row>
    <row r="139" spans="1:11" x14ac:dyDescent="0.35">
      <c r="A139" t="s">
        <v>188</v>
      </c>
      <c r="B139" s="2">
        <v>46174</v>
      </c>
      <c r="C139" t="s">
        <v>10</v>
      </c>
      <c r="D139" t="s">
        <v>59</v>
      </c>
      <c r="E139" t="s">
        <v>29</v>
      </c>
      <c r="F139" t="s">
        <v>36</v>
      </c>
      <c r="G139">
        <v>1</v>
      </c>
      <c r="H139">
        <v>1264</v>
      </c>
      <c r="I139">
        <v>1264</v>
      </c>
      <c r="J139" s="6" t="str">
        <f t="shared" si="4"/>
        <v>Jun</v>
      </c>
      <c r="K139">
        <f t="shared" si="5"/>
        <v>1264</v>
      </c>
    </row>
    <row r="140" spans="1:11" x14ac:dyDescent="0.35">
      <c r="A140" t="s">
        <v>189</v>
      </c>
      <c r="B140" s="2">
        <v>46296</v>
      </c>
      <c r="C140" t="s">
        <v>75</v>
      </c>
      <c r="D140" t="s">
        <v>16</v>
      </c>
      <c r="E140" t="s">
        <v>17</v>
      </c>
      <c r="F140" t="s">
        <v>36</v>
      </c>
      <c r="G140">
        <v>3</v>
      </c>
      <c r="H140">
        <v>16601</v>
      </c>
      <c r="I140">
        <v>49803</v>
      </c>
      <c r="J140" s="6" t="str">
        <f t="shared" si="4"/>
        <v>Oct</v>
      </c>
      <c r="K140">
        <f t="shared" si="5"/>
        <v>49803</v>
      </c>
    </row>
    <row r="141" spans="1:11" x14ac:dyDescent="0.35">
      <c r="A141" t="s">
        <v>190</v>
      </c>
      <c r="B141" s="2">
        <v>46380</v>
      </c>
      <c r="C141" t="s">
        <v>75</v>
      </c>
      <c r="D141" t="s">
        <v>39</v>
      </c>
      <c r="E141" t="s">
        <v>17</v>
      </c>
      <c r="F141" t="s">
        <v>25</v>
      </c>
      <c r="G141">
        <v>1</v>
      </c>
      <c r="H141">
        <v>45384</v>
      </c>
      <c r="I141">
        <v>45384</v>
      </c>
      <c r="J141" s="6" t="str">
        <f t="shared" si="4"/>
        <v>Dec</v>
      </c>
      <c r="K141">
        <f t="shared" si="5"/>
        <v>45384</v>
      </c>
    </row>
    <row r="142" spans="1:11" x14ac:dyDescent="0.35">
      <c r="A142" t="s">
        <v>191</v>
      </c>
      <c r="B142" s="2">
        <v>46263</v>
      </c>
      <c r="C142" t="s">
        <v>85</v>
      </c>
      <c r="D142" t="s">
        <v>46</v>
      </c>
      <c r="E142" t="s">
        <v>17</v>
      </c>
      <c r="F142" t="s">
        <v>25</v>
      </c>
      <c r="G142">
        <v>1</v>
      </c>
      <c r="H142">
        <v>22261</v>
      </c>
      <c r="I142">
        <v>22261</v>
      </c>
      <c r="J142" s="6" t="str">
        <f t="shared" si="4"/>
        <v>Aug</v>
      </c>
      <c r="K142">
        <f t="shared" si="5"/>
        <v>22261</v>
      </c>
    </row>
    <row r="143" spans="1:11" x14ac:dyDescent="0.35">
      <c r="A143" t="s">
        <v>192</v>
      </c>
      <c r="B143" s="2">
        <v>46152</v>
      </c>
      <c r="C143" t="s">
        <v>85</v>
      </c>
      <c r="D143" t="s">
        <v>32</v>
      </c>
      <c r="E143" t="s">
        <v>29</v>
      </c>
      <c r="F143" t="s">
        <v>33</v>
      </c>
      <c r="G143">
        <v>2</v>
      </c>
      <c r="H143">
        <v>860</v>
      </c>
      <c r="I143">
        <v>1720</v>
      </c>
      <c r="J143" s="6" t="str">
        <f t="shared" si="4"/>
        <v>May</v>
      </c>
      <c r="K143">
        <f t="shared" si="5"/>
        <v>1720</v>
      </c>
    </row>
    <row r="144" spans="1:11" x14ac:dyDescent="0.35">
      <c r="A144" t="s">
        <v>193</v>
      </c>
      <c r="B144" s="2">
        <v>46318</v>
      </c>
      <c r="C144" t="s">
        <v>62</v>
      </c>
      <c r="D144" t="s">
        <v>46</v>
      </c>
      <c r="E144" t="s">
        <v>17</v>
      </c>
      <c r="F144" t="s">
        <v>13</v>
      </c>
      <c r="G144">
        <v>4</v>
      </c>
      <c r="H144">
        <v>21971</v>
      </c>
      <c r="I144">
        <v>87884</v>
      </c>
      <c r="J144" s="6" t="str">
        <f t="shared" si="4"/>
        <v>Oct</v>
      </c>
      <c r="K144">
        <f t="shared" si="5"/>
        <v>87884</v>
      </c>
    </row>
    <row r="145" spans="1:11" x14ac:dyDescent="0.35">
      <c r="A145" t="s">
        <v>194</v>
      </c>
      <c r="B145" s="2">
        <v>46066</v>
      </c>
      <c r="C145" t="s">
        <v>10</v>
      </c>
      <c r="D145" t="s">
        <v>16</v>
      </c>
      <c r="E145" t="s">
        <v>17</v>
      </c>
      <c r="F145" t="s">
        <v>33</v>
      </c>
      <c r="G145">
        <v>5</v>
      </c>
      <c r="H145">
        <v>19293</v>
      </c>
      <c r="I145">
        <v>96465</v>
      </c>
      <c r="J145" s="6" t="str">
        <f t="shared" si="4"/>
        <v>Feb</v>
      </c>
      <c r="K145">
        <f t="shared" si="5"/>
        <v>96465</v>
      </c>
    </row>
    <row r="146" spans="1:11" x14ac:dyDescent="0.35">
      <c r="A146" t="s">
        <v>195</v>
      </c>
      <c r="B146" s="2">
        <v>46339</v>
      </c>
      <c r="C146" t="s">
        <v>10</v>
      </c>
      <c r="D146" t="s">
        <v>42</v>
      </c>
      <c r="E146" t="s">
        <v>24</v>
      </c>
      <c r="F146" t="s">
        <v>18</v>
      </c>
      <c r="G146">
        <v>4</v>
      </c>
      <c r="H146">
        <v>8645</v>
      </c>
      <c r="I146">
        <v>34580</v>
      </c>
      <c r="J146" s="6" t="str">
        <f t="shared" si="4"/>
        <v>Nov</v>
      </c>
      <c r="K146">
        <f t="shared" si="5"/>
        <v>34580</v>
      </c>
    </row>
    <row r="147" spans="1:11" x14ac:dyDescent="0.35">
      <c r="A147" t="s">
        <v>196</v>
      </c>
      <c r="B147" s="2">
        <v>46175</v>
      </c>
      <c r="C147" t="s">
        <v>55</v>
      </c>
      <c r="D147" t="s">
        <v>20</v>
      </c>
      <c r="E147" t="s">
        <v>17</v>
      </c>
      <c r="F147" t="s">
        <v>25</v>
      </c>
      <c r="G147">
        <v>4</v>
      </c>
      <c r="H147">
        <v>15980</v>
      </c>
      <c r="I147">
        <v>63920</v>
      </c>
      <c r="J147" s="6" t="str">
        <f t="shared" si="4"/>
        <v>Jun</v>
      </c>
      <c r="K147">
        <f t="shared" si="5"/>
        <v>63920</v>
      </c>
    </row>
    <row r="148" spans="1:11" x14ac:dyDescent="0.35">
      <c r="A148" t="s">
        <v>197</v>
      </c>
      <c r="B148" s="2">
        <v>46335</v>
      </c>
      <c r="C148" t="s">
        <v>31</v>
      </c>
      <c r="D148" t="s">
        <v>59</v>
      </c>
      <c r="E148" t="s">
        <v>29</v>
      </c>
      <c r="F148" t="s">
        <v>13</v>
      </c>
      <c r="G148">
        <v>5</v>
      </c>
      <c r="H148">
        <v>1223</v>
      </c>
      <c r="I148">
        <v>6115</v>
      </c>
      <c r="J148" s="6" t="str">
        <f t="shared" si="4"/>
        <v>Nov</v>
      </c>
      <c r="K148">
        <f t="shared" si="5"/>
        <v>6115</v>
      </c>
    </row>
    <row r="149" spans="1:11" x14ac:dyDescent="0.35">
      <c r="A149" t="s">
        <v>198</v>
      </c>
      <c r="B149" s="2">
        <v>46064</v>
      </c>
      <c r="C149" t="s">
        <v>27</v>
      </c>
      <c r="D149" t="s">
        <v>11</v>
      </c>
      <c r="E149" t="s">
        <v>12</v>
      </c>
      <c r="F149" t="s">
        <v>13</v>
      </c>
      <c r="G149">
        <v>2</v>
      </c>
      <c r="H149">
        <v>1732</v>
      </c>
      <c r="I149">
        <v>3464</v>
      </c>
      <c r="J149" s="6" t="str">
        <f t="shared" si="4"/>
        <v>Feb</v>
      </c>
      <c r="K149">
        <f t="shared" si="5"/>
        <v>3464</v>
      </c>
    </row>
    <row r="150" spans="1:11" x14ac:dyDescent="0.35">
      <c r="A150" t="s">
        <v>199</v>
      </c>
      <c r="B150" s="2">
        <v>46024</v>
      </c>
      <c r="C150" t="s">
        <v>64</v>
      </c>
      <c r="D150" t="s">
        <v>16</v>
      </c>
      <c r="E150" t="s">
        <v>17</v>
      </c>
      <c r="F150" t="s">
        <v>25</v>
      </c>
      <c r="G150">
        <v>5</v>
      </c>
      <c r="H150">
        <v>16776</v>
      </c>
      <c r="I150">
        <v>83880</v>
      </c>
      <c r="J150" s="6" t="str">
        <f t="shared" si="4"/>
        <v>Jan</v>
      </c>
      <c r="K150">
        <f t="shared" si="5"/>
        <v>83880</v>
      </c>
    </row>
    <row r="151" spans="1:11" x14ac:dyDescent="0.35">
      <c r="A151" t="s">
        <v>200</v>
      </c>
      <c r="B151" s="2">
        <v>46039</v>
      </c>
      <c r="C151" t="s">
        <v>10</v>
      </c>
      <c r="D151" t="s">
        <v>50</v>
      </c>
      <c r="E151" t="s">
        <v>51</v>
      </c>
      <c r="F151" t="s">
        <v>36</v>
      </c>
      <c r="G151">
        <v>5</v>
      </c>
      <c r="H151">
        <v>249</v>
      </c>
      <c r="I151">
        <v>1245</v>
      </c>
      <c r="J151" s="6" t="str">
        <f t="shared" si="4"/>
        <v>Jan</v>
      </c>
      <c r="K151">
        <f t="shared" si="5"/>
        <v>1245</v>
      </c>
    </row>
    <row r="152" spans="1:11" x14ac:dyDescent="0.35">
      <c r="A152" t="s">
        <v>201</v>
      </c>
      <c r="B152" s="2">
        <v>46255</v>
      </c>
      <c r="C152" t="s">
        <v>15</v>
      </c>
      <c r="D152" t="s">
        <v>50</v>
      </c>
      <c r="E152" t="s">
        <v>51</v>
      </c>
      <c r="F152" t="s">
        <v>13</v>
      </c>
      <c r="G152">
        <v>3</v>
      </c>
      <c r="H152">
        <v>258</v>
      </c>
      <c r="I152">
        <v>774</v>
      </c>
      <c r="J152" s="6" t="str">
        <f t="shared" si="4"/>
        <v>Aug</v>
      </c>
      <c r="K152">
        <f t="shared" si="5"/>
        <v>774</v>
      </c>
    </row>
    <row r="153" spans="1:11" x14ac:dyDescent="0.35">
      <c r="A153" t="s">
        <v>202</v>
      </c>
      <c r="B153" s="2">
        <v>46124</v>
      </c>
      <c r="C153" t="s">
        <v>64</v>
      </c>
      <c r="D153" t="s">
        <v>59</v>
      </c>
      <c r="E153" t="s">
        <v>29</v>
      </c>
      <c r="F153" t="s">
        <v>33</v>
      </c>
      <c r="G153">
        <v>6</v>
      </c>
      <c r="H153">
        <v>1217</v>
      </c>
      <c r="I153">
        <v>7302</v>
      </c>
      <c r="J153" s="6" t="str">
        <f t="shared" si="4"/>
        <v>Apr</v>
      </c>
      <c r="K153">
        <f t="shared" si="5"/>
        <v>7302</v>
      </c>
    </row>
    <row r="154" spans="1:11" x14ac:dyDescent="0.35">
      <c r="A154" t="s">
        <v>203</v>
      </c>
      <c r="B154" s="2">
        <v>46159</v>
      </c>
      <c r="C154" t="s">
        <v>75</v>
      </c>
      <c r="D154" t="s">
        <v>42</v>
      </c>
      <c r="E154" t="s">
        <v>24</v>
      </c>
      <c r="F154" t="s">
        <v>33</v>
      </c>
      <c r="G154">
        <v>2</v>
      </c>
      <c r="H154">
        <v>8701</v>
      </c>
      <c r="I154">
        <v>17402</v>
      </c>
      <c r="J154" s="6" t="str">
        <f t="shared" si="4"/>
        <v>May</v>
      </c>
      <c r="K154">
        <f t="shared" si="5"/>
        <v>17402</v>
      </c>
    </row>
    <row r="155" spans="1:11" x14ac:dyDescent="0.35">
      <c r="A155" t="s">
        <v>204</v>
      </c>
      <c r="B155" s="2">
        <v>46327</v>
      </c>
      <c r="C155" t="s">
        <v>55</v>
      </c>
      <c r="D155" t="s">
        <v>39</v>
      </c>
      <c r="E155" t="s">
        <v>17</v>
      </c>
      <c r="F155" t="s">
        <v>36</v>
      </c>
      <c r="G155">
        <v>2</v>
      </c>
      <c r="H155">
        <v>47107</v>
      </c>
      <c r="I155">
        <v>94214</v>
      </c>
      <c r="J155" s="6" t="str">
        <f t="shared" si="4"/>
        <v>Nov</v>
      </c>
      <c r="K155">
        <f t="shared" si="5"/>
        <v>94214</v>
      </c>
    </row>
    <row r="156" spans="1:11" x14ac:dyDescent="0.35">
      <c r="A156" t="s">
        <v>205</v>
      </c>
      <c r="B156" s="2">
        <v>46178</v>
      </c>
      <c r="C156" t="s">
        <v>38</v>
      </c>
      <c r="D156" t="s">
        <v>91</v>
      </c>
      <c r="E156" t="s">
        <v>17</v>
      </c>
      <c r="F156" t="s">
        <v>36</v>
      </c>
      <c r="G156">
        <v>1</v>
      </c>
      <c r="H156">
        <v>11940</v>
      </c>
      <c r="I156">
        <v>11940</v>
      </c>
      <c r="J156" s="6" t="str">
        <f t="shared" si="4"/>
        <v>Jun</v>
      </c>
      <c r="K156">
        <f t="shared" si="5"/>
        <v>11940</v>
      </c>
    </row>
    <row r="157" spans="1:11" x14ac:dyDescent="0.35">
      <c r="A157" t="s">
        <v>206</v>
      </c>
      <c r="B157" s="2">
        <v>46064</v>
      </c>
      <c r="C157" t="s">
        <v>35</v>
      </c>
      <c r="D157" t="s">
        <v>42</v>
      </c>
      <c r="E157" t="s">
        <v>24</v>
      </c>
      <c r="F157" t="s">
        <v>33</v>
      </c>
      <c r="G157">
        <v>5</v>
      </c>
      <c r="H157">
        <v>8492</v>
      </c>
      <c r="I157">
        <v>42460</v>
      </c>
      <c r="J157" s="6" t="str">
        <f t="shared" si="4"/>
        <v>Feb</v>
      </c>
      <c r="K157">
        <f t="shared" si="5"/>
        <v>42460</v>
      </c>
    </row>
    <row r="158" spans="1:11" x14ac:dyDescent="0.35">
      <c r="A158" t="s">
        <v>207</v>
      </c>
      <c r="B158" s="2">
        <v>46151</v>
      </c>
      <c r="C158" t="s">
        <v>80</v>
      </c>
      <c r="D158" t="s">
        <v>20</v>
      </c>
      <c r="E158" t="s">
        <v>17</v>
      </c>
      <c r="F158" t="s">
        <v>33</v>
      </c>
      <c r="G158">
        <v>6</v>
      </c>
      <c r="H158">
        <v>14574</v>
      </c>
      <c r="I158">
        <v>87444</v>
      </c>
      <c r="J158" s="6" t="str">
        <f t="shared" si="4"/>
        <v>May</v>
      </c>
      <c r="K158">
        <f t="shared" si="5"/>
        <v>87444</v>
      </c>
    </row>
    <row r="159" spans="1:11" x14ac:dyDescent="0.35">
      <c r="A159" t="s">
        <v>208</v>
      </c>
      <c r="B159" s="2">
        <v>46317</v>
      </c>
      <c r="C159" t="s">
        <v>55</v>
      </c>
      <c r="D159" t="s">
        <v>28</v>
      </c>
      <c r="E159" t="s">
        <v>29</v>
      </c>
      <c r="F159" t="s">
        <v>33</v>
      </c>
      <c r="G159">
        <v>6</v>
      </c>
      <c r="H159">
        <v>2634</v>
      </c>
      <c r="I159">
        <v>15804</v>
      </c>
      <c r="J159" s="6" t="str">
        <f t="shared" si="4"/>
        <v>Oct</v>
      </c>
      <c r="K159">
        <f t="shared" si="5"/>
        <v>15804</v>
      </c>
    </row>
    <row r="160" spans="1:11" x14ac:dyDescent="0.35">
      <c r="A160" t="s">
        <v>209</v>
      </c>
      <c r="B160" s="2">
        <v>46112</v>
      </c>
      <c r="C160" t="s">
        <v>85</v>
      </c>
      <c r="D160" t="s">
        <v>11</v>
      </c>
      <c r="E160" t="s">
        <v>12</v>
      </c>
      <c r="F160" t="s">
        <v>18</v>
      </c>
      <c r="G160">
        <v>3</v>
      </c>
      <c r="H160">
        <v>1822</v>
      </c>
      <c r="I160">
        <v>5466</v>
      </c>
      <c r="J160" s="6" t="str">
        <f t="shared" si="4"/>
        <v>Mar</v>
      </c>
      <c r="K160">
        <f t="shared" si="5"/>
        <v>5466</v>
      </c>
    </row>
    <row r="161" spans="1:11" x14ac:dyDescent="0.35">
      <c r="A161" t="s">
        <v>210</v>
      </c>
      <c r="B161" s="2">
        <v>46115</v>
      </c>
      <c r="C161" t="s">
        <v>55</v>
      </c>
      <c r="D161" t="s">
        <v>11</v>
      </c>
      <c r="E161" t="s">
        <v>12</v>
      </c>
      <c r="F161" t="s">
        <v>25</v>
      </c>
      <c r="G161">
        <v>4</v>
      </c>
      <c r="H161">
        <v>1920</v>
      </c>
      <c r="I161">
        <v>7680</v>
      </c>
      <c r="J161" s="6" t="str">
        <f t="shared" si="4"/>
        <v>Apr</v>
      </c>
      <c r="K161">
        <f t="shared" si="5"/>
        <v>7680</v>
      </c>
    </row>
    <row r="162" spans="1:11" x14ac:dyDescent="0.35">
      <c r="A162" t="s">
        <v>211</v>
      </c>
      <c r="B162" s="2">
        <v>46263</v>
      </c>
      <c r="C162" t="s">
        <v>41</v>
      </c>
      <c r="D162" t="s">
        <v>11</v>
      </c>
      <c r="E162" t="s">
        <v>12</v>
      </c>
      <c r="F162" t="s">
        <v>25</v>
      </c>
      <c r="G162">
        <v>4</v>
      </c>
      <c r="H162">
        <v>1935</v>
      </c>
      <c r="I162">
        <v>7740</v>
      </c>
      <c r="J162" s="6" t="str">
        <f t="shared" si="4"/>
        <v>Aug</v>
      </c>
      <c r="K162">
        <f t="shared" si="5"/>
        <v>7740</v>
      </c>
    </row>
    <row r="163" spans="1:11" x14ac:dyDescent="0.35">
      <c r="A163" t="s">
        <v>212</v>
      </c>
      <c r="B163" s="2">
        <v>46105</v>
      </c>
      <c r="C163" t="s">
        <v>102</v>
      </c>
      <c r="D163" t="s">
        <v>32</v>
      </c>
      <c r="E163" t="s">
        <v>29</v>
      </c>
      <c r="F163" t="s">
        <v>25</v>
      </c>
      <c r="G163">
        <v>3</v>
      </c>
      <c r="H163">
        <v>822</v>
      </c>
      <c r="I163">
        <v>2466</v>
      </c>
      <c r="J163" s="6" t="str">
        <f t="shared" si="4"/>
        <v>Mar</v>
      </c>
      <c r="K163">
        <f t="shared" si="5"/>
        <v>2466</v>
      </c>
    </row>
    <row r="164" spans="1:11" x14ac:dyDescent="0.35">
      <c r="A164" t="s">
        <v>213</v>
      </c>
      <c r="B164" s="2">
        <v>46228</v>
      </c>
      <c r="C164" t="s">
        <v>22</v>
      </c>
      <c r="D164" t="s">
        <v>50</v>
      </c>
      <c r="E164" t="s">
        <v>51</v>
      </c>
      <c r="F164" t="s">
        <v>33</v>
      </c>
      <c r="G164">
        <v>4</v>
      </c>
      <c r="H164">
        <v>242</v>
      </c>
      <c r="I164">
        <v>968</v>
      </c>
      <c r="J164" s="6" t="str">
        <f t="shared" si="4"/>
        <v>Jul</v>
      </c>
      <c r="K164">
        <f t="shared" si="5"/>
        <v>968</v>
      </c>
    </row>
    <row r="165" spans="1:11" x14ac:dyDescent="0.35">
      <c r="A165" t="s">
        <v>214</v>
      </c>
      <c r="B165" s="2">
        <v>46188</v>
      </c>
      <c r="C165" t="s">
        <v>31</v>
      </c>
      <c r="D165" t="s">
        <v>91</v>
      </c>
      <c r="E165" t="s">
        <v>17</v>
      </c>
      <c r="F165" t="s">
        <v>25</v>
      </c>
      <c r="G165">
        <v>1</v>
      </c>
      <c r="H165">
        <v>11644</v>
      </c>
      <c r="I165">
        <v>11644</v>
      </c>
      <c r="J165" s="6" t="str">
        <f t="shared" si="4"/>
        <v>Jun</v>
      </c>
      <c r="K165">
        <f t="shared" si="5"/>
        <v>11644</v>
      </c>
    </row>
    <row r="166" spans="1:11" x14ac:dyDescent="0.35">
      <c r="A166" t="s">
        <v>215</v>
      </c>
      <c r="B166" s="2">
        <v>46300</v>
      </c>
      <c r="C166" t="s">
        <v>57</v>
      </c>
      <c r="D166" t="s">
        <v>42</v>
      </c>
      <c r="E166" t="s">
        <v>24</v>
      </c>
      <c r="F166" t="s">
        <v>25</v>
      </c>
      <c r="G166">
        <v>1</v>
      </c>
      <c r="H166">
        <v>8714</v>
      </c>
      <c r="I166">
        <v>8714</v>
      </c>
      <c r="J166" s="6" t="str">
        <f t="shared" si="4"/>
        <v>Oct</v>
      </c>
      <c r="K166">
        <f t="shared" si="5"/>
        <v>8714</v>
      </c>
    </row>
    <row r="167" spans="1:11" x14ac:dyDescent="0.35">
      <c r="A167" t="s">
        <v>216</v>
      </c>
      <c r="B167" s="2">
        <v>46341</v>
      </c>
      <c r="C167" t="s">
        <v>85</v>
      </c>
      <c r="D167" t="s">
        <v>39</v>
      </c>
      <c r="E167" t="s">
        <v>17</v>
      </c>
      <c r="F167" t="s">
        <v>25</v>
      </c>
      <c r="G167">
        <v>2</v>
      </c>
      <c r="H167">
        <v>45133</v>
      </c>
      <c r="I167">
        <v>90266</v>
      </c>
      <c r="J167" s="6" t="str">
        <f t="shared" si="4"/>
        <v>Nov</v>
      </c>
      <c r="K167">
        <f t="shared" si="5"/>
        <v>90266</v>
      </c>
    </row>
    <row r="168" spans="1:11" x14ac:dyDescent="0.35">
      <c r="A168" t="s">
        <v>217</v>
      </c>
      <c r="B168" s="2">
        <v>46090</v>
      </c>
      <c r="C168" t="s">
        <v>111</v>
      </c>
      <c r="D168" t="s">
        <v>39</v>
      </c>
      <c r="E168" t="s">
        <v>17</v>
      </c>
      <c r="F168" t="s">
        <v>25</v>
      </c>
      <c r="G168">
        <v>2</v>
      </c>
      <c r="H168">
        <v>43323</v>
      </c>
      <c r="I168">
        <v>86646</v>
      </c>
      <c r="J168" s="6" t="str">
        <f t="shared" si="4"/>
        <v>Mar</v>
      </c>
      <c r="K168">
        <f t="shared" si="5"/>
        <v>86646</v>
      </c>
    </row>
    <row r="169" spans="1:11" x14ac:dyDescent="0.35">
      <c r="A169" t="s">
        <v>218</v>
      </c>
      <c r="B169" s="2">
        <v>46345</v>
      </c>
      <c r="C169" t="s">
        <v>35</v>
      </c>
      <c r="D169" t="s">
        <v>50</v>
      </c>
      <c r="E169" t="s">
        <v>51</v>
      </c>
      <c r="F169" t="s">
        <v>13</v>
      </c>
      <c r="G169">
        <v>4</v>
      </c>
      <c r="H169">
        <v>235</v>
      </c>
      <c r="I169">
        <v>940</v>
      </c>
      <c r="J169" s="6" t="str">
        <f t="shared" si="4"/>
        <v>Nov</v>
      </c>
      <c r="K169">
        <f t="shared" si="5"/>
        <v>940</v>
      </c>
    </row>
    <row r="170" spans="1:11" x14ac:dyDescent="0.35">
      <c r="A170" t="s">
        <v>219</v>
      </c>
      <c r="B170" s="2">
        <v>46030</v>
      </c>
      <c r="C170" t="s">
        <v>22</v>
      </c>
      <c r="D170" t="s">
        <v>50</v>
      </c>
      <c r="E170" t="s">
        <v>51</v>
      </c>
      <c r="F170" t="s">
        <v>25</v>
      </c>
      <c r="G170">
        <v>2</v>
      </c>
      <c r="H170">
        <v>242</v>
      </c>
      <c r="I170">
        <v>484</v>
      </c>
      <c r="J170" s="6" t="str">
        <f t="shared" si="4"/>
        <v>Jan</v>
      </c>
      <c r="K170">
        <f t="shared" si="5"/>
        <v>484</v>
      </c>
    </row>
    <row r="171" spans="1:11" x14ac:dyDescent="0.35">
      <c r="A171" t="s">
        <v>220</v>
      </c>
      <c r="B171" s="2">
        <v>46081</v>
      </c>
      <c r="C171" t="s">
        <v>57</v>
      </c>
      <c r="D171" t="s">
        <v>46</v>
      </c>
      <c r="E171" t="s">
        <v>17</v>
      </c>
      <c r="F171" t="s">
        <v>33</v>
      </c>
      <c r="G171">
        <v>2</v>
      </c>
      <c r="H171">
        <v>23733</v>
      </c>
      <c r="I171">
        <v>47466</v>
      </c>
      <c r="J171" s="6" t="str">
        <f t="shared" si="4"/>
        <v>Feb</v>
      </c>
      <c r="K171">
        <f t="shared" si="5"/>
        <v>47466</v>
      </c>
    </row>
    <row r="172" spans="1:11" x14ac:dyDescent="0.35">
      <c r="A172" t="s">
        <v>221</v>
      </c>
      <c r="B172" s="2">
        <v>46172</v>
      </c>
      <c r="C172" t="s">
        <v>66</v>
      </c>
      <c r="D172" t="s">
        <v>11</v>
      </c>
      <c r="E172" t="s">
        <v>12</v>
      </c>
      <c r="F172" t="s">
        <v>36</v>
      </c>
      <c r="G172">
        <v>2</v>
      </c>
      <c r="H172">
        <v>1800</v>
      </c>
      <c r="I172">
        <v>3600</v>
      </c>
      <c r="J172" s="6" t="str">
        <f t="shared" si="4"/>
        <v>May</v>
      </c>
      <c r="K172">
        <f t="shared" si="5"/>
        <v>3600</v>
      </c>
    </row>
    <row r="173" spans="1:11" x14ac:dyDescent="0.35">
      <c r="A173" t="s">
        <v>222</v>
      </c>
      <c r="B173" s="2">
        <v>46147</v>
      </c>
      <c r="C173" t="s">
        <v>57</v>
      </c>
      <c r="D173" t="s">
        <v>20</v>
      </c>
      <c r="E173" t="s">
        <v>17</v>
      </c>
      <c r="F173" t="s">
        <v>18</v>
      </c>
      <c r="G173">
        <v>4</v>
      </c>
      <c r="H173">
        <v>16153</v>
      </c>
      <c r="I173">
        <v>64612</v>
      </c>
      <c r="J173" s="6" t="str">
        <f t="shared" si="4"/>
        <v>May</v>
      </c>
      <c r="K173">
        <f t="shared" si="5"/>
        <v>64612</v>
      </c>
    </row>
    <row r="174" spans="1:11" x14ac:dyDescent="0.35">
      <c r="A174" t="s">
        <v>223</v>
      </c>
      <c r="B174" s="2">
        <v>46329</v>
      </c>
      <c r="C174" t="s">
        <v>66</v>
      </c>
      <c r="D174" t="s">
        <v>16</v>
      </c>
      <c r="E174" t="s">
        <v>17</v>
      </c>
      <c r="F174" t="s">
        <v>13</v>
      </c>
      <c r="G174">
        <v>4</v>
      </c>
      <c r="H174">
        <v>17109</v>
      </c>
      <c r="I174">
        <v>68436</v>
      </c>
      <c r="J174" s="6" t="str">
        <f t="shared" si="4"/>
        <v>Nov</v>
      </c>
      <c r="K174">
        <f t="shared" si="5"/>
        <v>68436</v>
      </c>
    </row>
    <row r="175" spans="1:11" x14ac:dyDescent="0.35">
      <c r="A175" t="s">
        <v>224</v>
      </c>
      <c r="B175" s="2">
        <v>46235</v>
      </c>
      <c r="C175" t="s">
        <v>102</v>
      </c>
      <c r="D175" t="s">
        <v>46</v>
      </c>
      <c r="E175" t="s">
        <v>17</v>
      </c>
      <c r="F175" t="s">
        <v>18</v>
      </c>
      <c r="G175">
        <v>3</v>
      </c>
      <c r="H175">
        <v>22960</v>
      </c>
      <c r="I175">
        <v>68880</v>
      </c>
      <c r="J175" s="6" t="str">
        <f t="shared" si="4"/>
        <v>Aug</v>
      </c>
      <c r="K175">
        <f t="shared" si="5"/>
        <v>68880</v>
      </c>
    </row>
    <row r="176" spans="1:11" x14ac:dyDescent="0.35">
      <c r="A176" t="s">
        <v>225</v>
      </c>
      <c r="B176" s="2">
        <v>46175</v>
      </c>
      <c r="C176" t="s">
        <v>55</v>
      </c>
      <c r="D176" t="s">
        <v>59</v>
      </c>
      <c r="E176" t="s">
        <v>29</v>
      </c>
      <c r="F176" t="s">
        <v>18</v>
      </c>
      <c r="G176">
        <v>1</v>
      </c>
      <c r="H176">
        <v>1158</v>
      </c>
      <c r="I176">
        <v>1158</v>
      </c>
      <c r="J176" s="6" t="str">
        <f t="shared" si="4"/>
        <v>Jun</v>
      </c>
      <c r="K176">
        <f t="shared" si="5"/>
        <v>1158</v>
      </c>
    </row>
    <row r="177" spans="1:11" x14ac:dyDescent="0.35">
      <c r="A177" t="s">
        <v>226</v>
      </c>
      <c r="B177" s="2">
        <v>46251</v>
      </c>
      <c r="C177" t="s">
        <v>22</v>
      </c>
      <c r="D177" t="s">
        <v>11</v>
      </c>
      <c r="E177" t="s">
        <v>12</v>
      </c>
      <c r="F177" t="s">
        <v>25</v>
      </c>
      <c r="G177">
        <v>4</v>
      </c>
      <c r="H177">
        <v>1905</v>
      </c>
      <c r="I177">
        <v>7620</v>
      </c>
      <c r="J177" s="6" t="str">
        <f t="shared" si="4"/>
        <v>Aug</v>
      </c>
      <c r="K177">
        <f t="shared" si="5"/>
        <v>7620</v>
      </c>
    </row>
    <row r="178" spans="1:11" x14ac:dyDescent="0.35">
      <c r="A178" t="s">
        <v>227</v>
      </c>
      <c r="B178" s="2">
        <v>46301</v>
      </c>
      <c r="C178" t="s">
        <v>38</v>
      </c>
      <c r="D178" t="s">
        <v>32</v>
      </c>
      <c r="E178" t="s">
        <v>29</v>
      </c>
      <c r="F178" t="s">
        <v>25</v>
      </c>
      <c r="G178">
        <v>3</v>
      </c>
      <c r="H178">
        <v>807</v>
      </c>
      <c r="I178">
        <v>2421</v>
      </c>
      <c r="J178" s="6" t="str">
        <f t="shared" si="4"/>
        <v>Oct</v>
      </c>
      <c r="K178">
        <f t="shared" si="5"/>
        <v>2421</v>
      </c>
    </row>
    <row r="179" spans="1:11" x14ac:dyDescent="0.35">
      <c r="A179" t="s">
        <v>228</v>
      </c>
      <c r="B179" s="2">
        <v>46145</v>
      </c>
      <c r="C179" t="s">
        <v>55</v>
      </c>
      <c r="D179" t="s">
        <v>32</v>
      </c>
      <c r="E179" t="s">
        <v>29</v>
      </c>
      <c r="F179" t="s">
        <v>25</v>
      </c>
      <c r="G179">
        <v>2</v>
      </c>
      <c r="H179">
        <v>862</v>
      </c>
      <c r="I179">
        <v>1724</v>
      </c>
      <c r="J179" s="6" t="str">
        <f t="shared" si="4"/>
        <v>May</v>
      </c>
      <c r="K179">
        <f t="shared" si="5"/>
        <v>1724</v>
      </c>
    </row>
    <row r="180" spans="1:11" x14ac:dyDescent="0.35">
      <c r="A180" t="s">
        <v>229</v>
      </c>
      <c r="B180" s="2">
        <v>46265</v>
      </c>
      <c r="C180" t="s">
        <v>38</v>
      </c>
      <c r="D180" t="s">
        <v>28</v>
      </c>
      <c r="E180" t="s">
        <v>29</v>
      </c>
      <c r="F180" t="s">
        <v>25</v>
      </c>
      <c r="G180">
        <v>4</v>
      </c>
      <c r="H180">
        <v>2317</v>
      </c>
      <c r="I180">
        <v>9268</v>
      </c>
      <c r="J180" s="6" t="str">
        <f t="shared" si="4"/>
        <v>Aug</v>
      </c>
      <c r="K180">
        <f t="shared" si="5"/>
        <v>9268</v>
      </c>
    </row>
    <row r="181" spans="1:11" x14ac:dyDescent="0.35">
      <c r="A181" t="s">
        <v>230</v>
      </c>
      <c r="B181" s="2">
        <v>46276</v>
      </c>
      <c r="C181" t="s">
        <v>62</v>
      </c>
      <c r="D181" t="s">
        <v>11</v>
      </c>
      <c r="E181" t="s">
        <v>12</v>
      </c>
      <c r="F181" t="s">
        <v>13</v>
      </c>
      <c r="G181">
        <v>6</v>
      </c>
      <c r="H181">
        <v>1938</v>
      </c>
      <c r="I181">
        <v>11628</v>
      </c>
      <c r="J181" s="6" t="str">
        <f t="shared" si="4"/>
        <v>Sep</v>
      </c>
      <c r="K181">
        <f t="shared" si="5"/>
        <v>11628</v>
      </c>
    </row>
    <row r="182" spans="1:11" x14ac:dyDescent="0.35">
      <c r="A182" t="s">
        <v>231</v>
      </c>
      <c r="B182" s="2">
        <v>46074</v>
      </c>
      <c r="C182" t="s">
        <v>57</v>
      </c>
      <c r="D182" t="s">
        <v>42</v>
      </c>
      <c r="E182" t="s">
        <v>24</v>
      </c>
      <c r="F182" t="s">
        <v>33</v>
      </c>
      <c r="G182">
        <v>5</v>
      </c>
      <c r="H182">
        <v>8272</v>
      </c>
      <c r="I182">
        <v>41360</v>
      </c>
      <c r="J182" s="6" t="str">
        <f t="shared" si="4"/>
        <v>Feb</v>
      </c>
      <c r="K182">
        <f t="shared" si="5"/>
        <v>41360</v>
      </c>
    </row>
    <row r="183" spans="1:11" x14ac:dyDescent="0.35">
      <c r="A183" t="s">
        <v>232</v>
      </c>
      <c r="B183" s="2">
        <v>46096</v>
      </c>
      <c r="C183" t="s">
        <v>64</v>
      </c>
      <c r="D183" t="s">
        <v>42</v>
      </c>
      <c r="E183" t="s">
        <v>24</v>
      </c>
      <c r="F183" t="s">
        <v>13</v>
      </c>
      <c r="G183">
        <v>4</v>
      </c>
      <c r="H183">
        <v>7841</v>
      </c>
      <c r="I183">
        <v>31364</v>
      </c>
      <c r="J183" s="6" t="str">
        <f t="shared" si="4"/>
        <v>Mar</v>
      </c>
      <c r="K183">
        <f t="shared" si="5"/>
        <v>31364</v>
      </c>
    </row>
    <row r="184" spans="1:11" x14ac:dyDescent="0.35">
      <c r="A184" t="s">
        <v>233</v>
      </c>
      <c r="B184" s="2">
        <v>46158</v>
      </c>
      <c r="C184" t="s">
        <v>102</v>
      </c>
      <c r="D184" t="s">
        <v>46</v>
      </c>
      <c r="E184" t="s">
        <v>17</v>
      </c>
      <c r="F184" t="s">
        <v>18</v>
      </c>
      <c r="G184">
        <v>4</v>
      </c>
      <c r="H184">
        <v>22991</v>
      </c>
      <c r="I184">
        <v>91964</v>
      </c>
      <c r="J184" s="6" t="str">
        <f t="shared" si="4"/>
        <v>May</v>
      </c>
      <c r="K184">
        <f t="shared" si="5"/>
        <v>91964</v>
      </c>
    </row>
    <row r="185" spans="1:11" x14ac:dyDescent="0.35">
      <c r="A185" t="s">
        <v>234</v>
      </c>
      <c r="B185" s="2">
        <v>46191</v>
      </c>
      <c r="C185" t="s">
        <v>22</v>
      </c>
      <c r="D185" t="s">
        <v>50</v>
      </c>
      <c r="E185" t="s">
        <v>51</v>
      </c>
      <c r="F185" t="s">
        <v>25</v>
      </c>
      <c r="G185">
        <v>4</v>
      </c>
      <c r="H185">
        <v>256</v>
      </c>
      <c r="I185">
        <v>1024</v>
      </c>
      <c r="J185" s="6" t="str">
        <f t="shared" si="4"/>
        <v>Jun</v>
      </c>
      <c r="K185">
        <f t="shared" si="5"/>
        <v>1024</v>
      </c>
    </row>
    <row r="186" spans="1:11" x14ac:dyDescent="0.35">
      <c r="A186" t="s">
        <v>235</v>
      </c>
      <c r="B186" s="2">
        <v>46272</v>
      </c>
      <c r="C186" t="s">
        <v>22</v>
      </c>
      <c r="D186" t="s">
        <v>32</v>
      </c>
      <c r="E186" t="s">
        <v>29</v>
      </c>
      <c r="F186" t="s">
        <v>33</v>
      </c>
      <c r="G186">
        <v>6</v>
      </c>
      <c r="H186">
        <v>828</v>
      </c>
      <c r="I186">
        <v>4968</v>
      </c>
      <c r="J186" s="6" t="str">
        <f t="shared" si="4"/>
        <v>Sep</v>
      </c>
      <c r="K186">
        <f t="shared" si="5"/>
        <v>4968</v>
      </c>
    </row>
    <row r="187" spans="1:11" x14ac:dyDescent="0.35">
      <c r="A187" t="s">
        <v>236</v>
      </c>
      <c r="B187" s="2">
        <v>46373</v>
      </c>
      <c r="C187" t="s">
        <v>111</v>
      </c>
      <c r="D187" t="s">
        <v>23</v>
      </c>
      <c r="E187" t="s">
        <v>24</v>
      </c>
      <c r="F187" t="s">
        <v>13</v>
      </c>
      <c r="G187">
        <v>1</v>
      </c>
      <c r="H187">
        <v>6703</v>
      </c>
      <c r="I187">
        <v>6703</v>
      </c>
      <c r="J187" s="6" t="str">
        <f t="shared" si="4"/>
        <v>Dec</v>
      </c>
      <c r="K187">
        <f t="shared" si="5"/>
        <v>6703</v>
      </c>
    </row>
    <row r="188" spans="1:11" x14ac:dyDescent="0.35">
      <c r="A188" t="s">
        <v>237</v>
      </c>
      <c r="B188" s="2">
        <v>46073</v>
      </c>
      <c r="C188" t="s">
        <v>31</v>
      </c>
      <c r="D188" t="s">
        <v>50</v>
      </c>
      <c r="E188" t="s">
        <v>51</v>
      </c>
      <c r="F188" t="s">
        <v>25</v>
      </c>
      <c r="G188">
        <v>1</v>
      </c>
      <c r="H188">
        <v>247</v>
      </c>
      <c r="I188">
        <v>247</v>
      </c>
      <c r="J188" s="6" t="str">
        <f t="shared" si="4"/>
        <v>Feb</v>
      </c>
      <c r="K188">
        <f t="shared" si="5"/>
        <v>247</v>
      </c>
    </row>
    <row r="189" spans="1:11" x14ac:dyDescent="0.35">
      <c r="A189" t="s">
        <v>238</v>
      </c>
      <c r="B189" s="2">
        <v>46037</v>
      </c>
      <c r="C189" t="s">
        <v>62</v>
      </c>
      <c r="D189" t="s">
        <v>16</v>
      </c>
      <c r="E189" t="s">
        <v>17</v>
      </c>
      <c r="F189" t="s">
        <v>36</v>
      </c>
      <c r="G189">
        <v>6</v>
      </c>
      <c r="H189">
        <v>17422</v>
      </c>
      <c r="I189">
        <v>104532</v>
      </c>
      <c r="J189" s="6" t="str">
        <f t="shared" si="4"/>
        <v>Jan</v>
      </c>
      <c r="K189">
        <f t="shared" si="5"/>
        <v>104532</v>
      </c>
    </row>
    <row r="190" spans="1:11" x14ac:dyDescent="0.35">
      <c r="A190" t="s">
        <v>239</v>
      </c>
      <c r="B190" s="2">
        <v>46243</v>
      </c>
      <c r="C190" t="s">
        <v>75</v>
      </c>
      <c r="D190" t="s">
        <v>39</v>
      </c>
      <c r="E190" t="s">
        <v>17</v>
      </c>
      <c r="F190" t="s">
        <v>13</v>
      </c>
      <c r="G190">
        <v>3</v>
      </c>
      <c r="H190">
        <v>43981</v>
      </c>
      <c r="I190">
        <v>131943</v>
      </c>
      <c r="J190" s="6" t="str">
        <f t="shared" si="4"/>
        <v>Aug</v>
      </c>
      <c r="K190">
        <f t="shared" si="5"/>
        <v>131943</v>
      </c>
    </row>
    <row r="191" spans="1:11" x14ac:dyDescent="0.35">
      <c r="A191" t="s">
        <v>240</v>
      </c>
      <c r="B191" s="2">
        <v>46115</v>
      </c>
      <c r="C191" t="s">
        <v>27</v>
      </c>
      <c r="D191" t="s">
        <v>42</v>
      </c>
      <c r="E191" t="s">
        <v>24</v>
      </c>
      <c r="F191" t="s">
        <v>13</v>
      </c>
      <c r="G191">
        <v>4</v>
      </c>
      <c r="H191">
        <v>8590</v>
      </c>
      <c r="I191">
        <v>34360</v>
      </c>
      <c r="J191" s="6" t="str">
        <f t="shared" si="4"/>
        <v>Apr</v>
      </c>
      <c r="K191">
        <f t="shared" si="5"/>
        <v>34360</v>
      </c>
    </row>
    <row r="192" spans="1:11" x14ac:dyDescent="0.35">
      <c r="A192" t="s">
        <v>241</v>
      </c>
      <c r="B192" s="2">
        <v>46340</v>
      </c>
      <c r="C192" t="s">
        <v>10</v>
      </c>
      <c r="D192" t="s">
        <v>46</v>
      </c>
      <c r="E192" t="s">
        <v>17</v>
      </c>
      <c r="F192" t="s">
        <v>25</v>
      </c>
      <c r="G192">
        <v>5</v>
      </c>
      <c r="H192">
        <v>23305</v>
      </c>
      <c r="I192">
        <v>116525</v>
      </c>
      <c r="J192" s="6" t="str">
        <f t="shared" si="4"/>
        <v>Nov</v>
      </c>
      <c r="K192">
        <f t="shared" si="5"/>
        <v>116525</v>
      </c>
    </row>
    <row r="193" spans="1:11" x14ac:dyDescent="0.35">
      <c r="A193" t="s">
        <v>242</v>
      </c>
      <c r="B193" s="2">
        <v>46349</v>
      </c>
      <c r="C193" t="s">
        <v>45</v>
      </c>
      <c r="D193" t="s">
        <v>23</v>
      </c>
      <c r="E193" t="s">
        <v>24</v>
      </c>
      <c r="F193" t="s">
        <v>25</v>
      </c>
      <c r="G193">
        <v>2</v>
      </c>
      <c r="H193">
        <v>6700</v>
      </c>
      <c r="I193">
        <v>13400</v>
      </c>
      <c r="J193" s="6" t="str">
        <f t="shared" si="4"/>
        <v>Nov</v>
      </c>
      <c r="K193">
        <f t="shared" si="5"/>
        <v>13400</v>
      </c>
    </row>
    <row r="194" spans="1:11" x14ac:dyDescent="0.35">
      <c r="A194" t="s">
        <v>243</v>
      </c>
      <c r="B194" s="2">
        <v>46261</v>
      </c>
      <c r="C194" t="s">
        <v>111</v>
      </c>
      <c r="D194" t="s">
        <v>59</v>
      </c>
      <c r="E194" t="s">
        <v>29</v>
      </c>
      <c r="F194" t="s">
        <v>18</v>
      </c>
      <c r="G194">
        <v>6</v>
      </c>
      <c r="H194">
        <v>1106</v>
      </c>
      <c r="I194">
        <v>6636</v>
      </c>
      <c r="J194" s="6" t="str">
        <f t="shared" si="4"/>
        <v>Aug</v>
      </c>
      <c r="K194">
        <f t="shared" si="5"/>
        <v>6636</v>
      </c>
    </row>
    <row r="195" spans="1:11" x14ac:dyDescent="0.35">
      <c r="A195" t="s">
        <v>244</v>
      </c>
      <c r="B195" s="2">
        <v>46199</v>
      </c>
      <c r="C195" t="s">
        <v>55</v>
      </c>
      <c r="D195" t="s">
        <v>16</v>
      </c>
      <c r="E195" t="s">
        <v>17</v>
      </c>
      <c r="F195" t="s">
        <v>36</v>
      </c>
      <c r="G195">
        <v>1</v>
      </c>
      <c r="H195">
        <v>17832</v>
      </c>
      <c r="I195">
        <v>17832</v>
      </c>
      <c r="J195" s="6" t="str">
        <f t="shared" ref="J195:J258" si="6">TEXT(B195,"mmm")</f>
        <v>Jun</v>
      </c>
      <c r="K195">
        <f t="shared" ref="K195:K258" si="7">G195*H195</f>
        <v>17832</v>
      </c>
    </row>
    <row r="196" spans="1:11" x14ac:dyDescent="0.35">
      <c r="A196" t="s">
        <v>245</v>
      </c>
      <c r="B196" s="2">
        <v>46256</v>
      </c>
      <c r="C196" t="s">
        <v>111</v>
      </c>
      <c r="D196" t="s">
        <v>11</v>
      </c>
      <c r="E196" t="s">
        <v>12</v>
      </c>
      <c r="F196" t="s">
        <v>13</v>
      </c>
      <c r="G196">
        <v>4</v>
      </c>
      <c r="H196">
        <v>1855</v>
      </c>
      <c r="I196">
        <v>7420</v>
      </c>
      <c r="J196" s="6" t="str">
        <f t="shared" si="6"/>
        <v>Aug</v>
      </c>
      <c r="K196">
        <f t="shared" si="7"/>
        <v>7420</v>
      </c>
    </row>
    <row r="197" spans="1:11" x14ac:dyDescent="0.35">
      <c r="A197" t="s">
        <v>246</v>
      </c>
      <c r="B197" s="2">
        <v>46218</v>
      </c>
      <c r="C197" t="s">
        <v>55</v>
      </c>
      <c r="D197" t="s">
        <v>20</v>
      </c>
      <c r="E197" t="s">
        <v>17</v>
      </c>
      <c r="F197" t="s">
        <v>36</v>
      </c>
      <c r="G197">
        <v>4</v>
      </c>
      <c r="H197">
        <v>14056</v>
      </c>
      <c r="I197">
        <v>56224</v>
      </c>
      <c r="J197" s="6" t="str">
        <f t="shared" si="6"/>
        <v>Jul</v>
      </c>
      <c r="K197">
        <f t="shared" si="7"/>
        <v>56224</v>
      </c>
    </row>
    <row r="198" spans="1:11" x14ac:dyDescent="0.35">
      <c r="A198" t="s">
        <v>247</v>
      </c>
      <c r="B198" s="2">
        <v>46174</v>
      </c>
      <c r="C198" t="s">
        <v>80</v>
      </c>
      <c r="D198" t="s">
        <v>23</v>
      </c>
      <c r="E198" t="s">
        <v>24</v>
      </c>
      <c r="F198" t="s">
        <v>25</v>
      </c>
      <c r="G198">
        <v>3</v>
      </c>
      <c r="H198">
        <v>7552</v>
      </c>
      <c r="I198">
        <v>22656</v>
      </c>
      <c r="J198" s="6" t="str">
        <f t="shared" si="6"/>
        <v>Jun</v>
      </c>
      <c r="K198">
        <f t="shared" si="7"/>
        <v>22656</v>
      </c>
    </row>
    <row r="199" spans="1:11" x14ac:dyDescent="0.35">
      <c r="A199" t="s">
        <v>248</v>
      </c>
      <c r="B199" s="2">
        <v>46374</v>
      </c>
      <c r="C199" t="s">
        <v>62</v>
      </c>
      <c r="D199" t="s">
        <v>59</v>
      </c>
      <c r="E199" t="s">
        <v>29</v>
      </c>
      <c r="F199" t="s">
        <v>18</v>
      </c>
      <c r="G199">
        <v>1</v>
      </c>
      <c r="H199">
        <v>1213</v>
      </c>
      <c r="I199">
        <v>1213</v>
      </c>
      <c r="J199" s="6" t="str">
        <f t="shared" si="6"/>
        <v>Dec</v>
      </c>
      <c r="K199">
        <f t="shared" si="7"/>
        <v>1213</v>
      </c>
    </row>
    <row r="200" spans="1:11" x14ac:dyDescent="0.35">
      <c r="A200" t="s">
        <v>249</v>
      </c>
      <c r="B200" s="2">
        <v>46169</v>
      </c>
      <c r="C200" t="s">
        <v>10</v>
      </c>
      <c r="D200" t="s">
        <v>50</v>
      </c>
      <c r="E200" t="s">
        <v>51</v>
      </c>
      <c r="F200" t="s">
        <v>18</v>
      </c>
      <c r="G200">
        <v>4</v>
      </c>
      <c r="H200">
        <v>263</v>
      </c>
      <c r="I200">
        <v>1052</v>
      </c>
      <c r="J200" s="6" t="str">
        <f t="shared" si="6"/>
        <v>May</v>
      </c>
      <c r="K200">
        <f t="shared" si="7"/>
        <v>1052</v>
      </c>
    </row>
    <row r="201" spans="1:11" x14ac:dyDescent="0.35">
      <c r="A201" t="s">
        <v>250</v>
      </c>
      <c r="B201" s="2">
        <v>46340</v>
      </c>
      <c r="C201" t="s">
        <v>45</v>
      </c>
      <c r="D201" t="s">
        <v>32</v>
      </c>
      <c r="E201" t="s">
        <v>29</v>
      </c>
      <c r="F201" t="s">
        <v>13</v>
      </c>
      <c r="G201">
        <v>2</v>
      </c>
      <c r="H201">
        <v>817</v>
      </c>
      <c r="I201">
        <v>1634</v>
      </c>
      <c r="J201" s="6" t="str">
        <f t="shared" si="6"/>
        <v>Nov</v>
      </c>
      <c r="K201">
        <f t="shared" si="7"/>
        <v>1634</v>
      </c>
    </row>
    <row r="202" spans="1:11" x14ac:dyDescent="0.35">
      <c r="A202" t="s">
        <v>251</v>
      </c>
      <c r="B202" s="2">
        <v>46353</v>
      </c>
      <c r="C202" t="s">
        <v>62</v>
      </c>
      <c r="D202" t="s">
        <v>11</v>
      </c>
      <c r="E202" t="s">
        <v>12</v>
      </c>
      <c r="F202" t="s">
        <v>36</v>
      </c>
      <c r="G202">
        <v>1</v>
      </c>
      <c r="H202">
        <v>1916</v>
      </c>
      <c r="I202">
        <v>1916</v>
      </c>
      <c r="J202" s="6" t="str">
        <f t="shared" si="6"/>
        <v>Nov</v>
      </c>
      <c r="K202">
        <f t="shared" si="7"/>
        <v>1916</v>
      </c>
    </row>
    <row r="203" spans="1:11" x14ac:dyDescent="0.35">
      <c r="A203" t="s">
        <v>252</v>
      </c>
      <c r="B203" s="2">
        <v>46090</v>
      </c>
      <c r="C203" t="s">
        <v>15</v>
      </c>
      <c r="D203" t="s">
        <v>91</v>
      </c>
      <c r="E203" t="s">
        <v>17</v>
      </c>
      <c r="F203" t="s">
        <v>36</v>
      </c>
      <c r="G203">
        <v>1</v>
      </c>
      <c r="H203">
        <v>12153</v>
      </c>
      <c r="I203">
        <v>12153</v>
      </c>
      <c r="J203" s="6" t="str">
        <f t="shared" si="6"/>
        <v>Mar</v>
      </c>
      <c r="K203">
        <f t="shared" si="7"/>
        <v>12153</v>
      </c>
    </row>
    <row r="204" spans="1:11" x14ac:dyDescent="0.35">
      <c r="A204" t="s">
        <v>253</v>
      </c>
      <c r="B204" s="2">
        <v>46125</v>
      </c>
      <c r="C204" t="s">
        <v>75</v>
      </c>
      <c r="D204" t="s">
        <v>32</v>
      </c>
      <c r="E204" t="s">
        <v>29</v>
      </c>
      <c r="F204" t="s">
        <v>18</v>
      </c>
      <c r="G204">
        <v>6</v>
      </c>
      <c r="H204">
        <v>789</v>
      </c>
      <c r="I204">
        <v>4734</v>
      </c>
      <c r="J204" s="6" t="str">
        <f t="shared" si="6"/>
        <v>Apr</v>
      </c>
      <c r="K204">
        <f t="shared" si="7"/>
        <v>4734</v>
      </c>
    </row>
    <row r="205" spans="1:11" x14ac:dyDescent="0.35">
      <c r="A205" t="s">
        <v>254</v>
      </c>
      <c r="B205" s="2">
        <v>46162</v>
      </c>
      <c r="C205" t="s">
        <v>27</v>
      </c>
      <c r="D205" t="s">
        <v>32</v>
      </c>
      <c r="E205" t="s">
        <v>29</v>
      </c>
      <c r="F205" t="s">
        <v>36</v>
      </c>
      <c r="G205">
        <v>5</v>
      </c>
      <c r="H205">
        <v>800</v>
      </c>
      <c r="I205">
        <v>4000</v>
      </c>
      <c r="J205" s="6" t="str">
        <f t="shared" si="6"/>
        <v>May</v>
      </c>
      <c r="K205">
        <f t="shared" si="7"/>
        <v>4000</v>
      </c>
    </row>
    <row r="206" spans="1:11" x14ac:dyDescent="0.35">
      <c r="A206" t="s">
        <v>255</v>
      </c>
      <c r="B206" s="2">
        <v>46196</v>
      </c>
      <c r="C206" t="s">
        <v>31</v>
      </c>
      <c r="D206" t="s">
        <v>91</v>
      </c>
      <c r="E206" t="s">
        <v>17</v>
      </c>
      <c r="F206" t="s">
        <v>25</v>
      </c>
      <c r="G206">
        <v>3</v>
      </c>
      <c r="H206">
        <v>12473</v>
      </c>
      <c r="I206">
        <v>37419</v>
      </c>
      <c r="J206" s="6" t="str">
        <f t="shared" si="6"/>
        <v>Jun</v>
      </c>
      <c r="K206">
        <f t="shared" si="7"/>
        <v>37419</v>
      </c>
    </row>
    <row r="207" spans="1:11" x14ac:dyDescent="0.35">
      <c r="A207" t="s">
        <v>256</v>
      </c>
      <c r="B207" s="2">
        <v>46138</v>
      </c>
      <c r="C207" t="s">
        <v>38</v>
      </c>
      <c r="D207" t="s">
        <v>46</v>
      </c>
      <c r="E207" t="s">
        <v>17</v>
      </c>
      <c r="F207" t="s">
        <v>18</v>
      </c>
      <c r="G207">
        <v>2</v>
      </c>
      <c r="H207">
        <v>22895</v>
      </c>
      <c r="I207">
        <v>45790</v>
      </c>
      <c r="J207" s="6" t="str">
        <f t="shared" si="6"/>
        <v>Apr</v>
      </c>
      <c r="K207">
        <f t="shared" si="7"/>
        <v>45790</v>
      </c>
    </row>
    <row r="208" spans="1:11" x14ac:dyDescent="0.35">
      <c r="A208" t="s">
        <v>257</v>
      </c>
      <c r="B208" s="2">
        <v>46030</v>
      </c>
      <c r="C208" t="s">
        <v>45</v>
      </c>
      <c r="D208" t="s">
        <v>32</v>
      </c>
      <c r="E208" t="s">
        <v>29</v>
      </c>
      <c r="F208" t="s">
        <v>18</v>
      </c>
      <c r="G208">
        <v>1</v>
      </c>
      <c r="H208">
        <v>837</v>
      </c>
      <c r="I208">
        <v>837</v>
      </c>
      <c r="J208" s="6" t="str">
        <f t="shared" si="6"/>
        <v>Jan</v>
      </c>
      <c r="K208">
        <f t="shared" si="7"/>
        <v>837</v>
      </c>
    </row>
    <row r="209" spans="1:11" x14ac:dyDescent="0.35">
      <c r="A209" t="s">
        <v>258</v>
      </c>
      <c r="B209" s="2">
        <v>46367</v>
      </c>
      <c r="C209" t="s">
        <v>45</v>
      </c>
      <c r="D209" t="s">
        <v>46</v>
      </c>
      <c r="E209" t="s">
        <v>17</v>
      </c>
      <c r="F209" t="s">
        <v>18</v>
      </c>
      <c r="G209">
        <v>4</v>
      </c>
      <c r="H209">
        <v>21537</v>
      </c>
      <c r="I209">
        <v>86148</v>
      </c>
      <c r="J209" s="6" t="str">
        <f t="shared" si="6"/>
        <v>Dec</v>
      </c>
      <c r="K209">
        <f t="shared" si="7"/>
        <v>86148</v>
      </c>
    </row>
    <row r="210" spans="1:11" x14ac:dyDescent="0.35">
      <c r="A210" t="s">
        <v>259</v>
      </c>
      <c r="B210" s="2">
        <v>46078</v>
      </c>
      <c r="C210" t="s">
        <v>10</v>
      </c>
      <c r="D210" t="s">
        <v>20</v>
      </c>
      <c r="E210" t="s">
        <v>17</v>
      </c>
      <c r="F210" t="s">
        <v>25</v>
      </c>
      <c r="G210">
        <v>6</v>
      </c>
      <c r="H210">
        <v>16057</v>
      </c>
      <c r="I210">
        <v>96342</v>
      </c>
      <c r="J210" s="6" t="str">
        <f t="shared" si="6"/>
        <v>Feb</v>
      </c>
      <c r="K210">
        <f t="shared" si="7"/>
        <v>96342</v>
      </c>
    </row>
    <row r="211" spans="1:11" x14ac:dyDescent="0.35">
      <c r="A211" t="s">
        <v>260</v>
      </c>
      <c r="B211" s="2">
        <v>46310</v>
      </c>
      <c r="C211" t="s">
        <v>102</v>
      </c>
      <c r="D211" t="s">
        <v>39</v>
      </c>
      <c r="E211" t="s">
        <v>17</v>
      </c>
      <c r="F211" t="s">
        <v>18</v>
      </c>
      <c r="G211">
        <v>5</v>
      </c>
      <c r="H211">
        <v>47766</v>
      </c>
      <c r="I211">
        <v>238830</v>
      </c>
      <c r="J211" s="6" t="str">
        <f t="shared" si="6"/>
        <v>Oct</v>
      </c>
      <c r="K211">
        <f t="shared" si="7"/>
        <v>238830</v>
      </c>
    </row>
    <row r="212" spans="1:11" x14ac:dyDescent="0.35">
      <c r="A212" t="s">
        <v>261</v>
      </c>
      <c r="B212" s="2">
        <v>46260</v>
      </c>
      <c r="C212" t="s">
        <v>111</v>
      </c>
      <c r="D212" t="s">
        <v>28</v>
      </c>
      <c r="E212" t="s">
        <v>29</v>
      </c>
      <c r="F212" t="s">
        <v>25</v>
      </c>
      <c r="G212">
        <v>6</v>
      </c>
      <c r="H212">
        <v>2325</v>
      </c>
      <c r="I212">
        <v>13950</v>
      </c>
      <c r="J212" s="6" t="str">
        <f t="shared" si="6"/>
        <v>Aug</v>
      </c>
      <c r="K212">
        <f t="shared" si="7"/>
        <v>13950</v>
      </c>
    </row>
    <row r="213" spans="1:11" x14ac:dyDescent="0.35">
      <c r="A213" t="s">
        <v>262</v>
      </c>
      <c r="B213" s="2">
        <v>46042</v>
      </c>
      <c r="C213" t="s">
        <v>111</v>
      </c>
      <c r="D213" t="s">
        <v>46</v>
      </c>
      <c r="E213" t="s">
        <v>17</v>
      </c>
      <c r="F213" t="s">
        <v>25</v>
      </c>
      <c r="G213">
        <v>2</v>
      </c>
      <c r="H213">
        <v>20400</v>
      </c>
      <c r="I213">
        <v>40800</v>
      </c>
      <c r="J213" s="6" t="str">
        <f t="shared" si="6"/>
        <v>Jan</v>
      </c>
      <c r="K213">
        <f t="shared" si="7"/>
        <v>40800</v>
      </c>
    </row>
    <row r="214" spans="1:11" x14ac:dyDescent="0.35">
      <c r="A214" t="s">
        <v>263</v>
      </c>
      <c r="B214" s="2">
        <v>46298</v>
      </c>
      <c r="C214" t="s">
        <v>75</v>
      </c>
      <c r="D214" t="s">
        <v>46</v>
      </c>
      <c r="E214" t="s">
        <v>17</v>
      </c>
      <c r="F214" t="s">
        <v>25</v>
      </c>
      <c r="G214">
        <v>1</v>
      </c>
      <c r="H214">
        <v>21066</v>
      </c>
      <c r="I214">
        <v>21066</v>
      </c>
      <c r="J214" s="6" t="str">
        <f t="shared" si="6"/>
        <v>Oct</v>
      </c>
      <c r="K214">
        <f t="shared" si="7"/>
        <v>21066</v>
      </c>
    </row>
    <row r="215" spans="1:11" x14ac:dyDescent="0.35">
      <c r="A215" t="s">
        <v>264</v>
      </c>
      <c r="B215" s="2">
        <v>46379</v>
      </c>
      <c r="C215" t="s">
        <v>22</v>
      </c>
      <c r="D215" t="s">
        <v>91</v>
      </c>
      <c r="E215" t="s">
        <v>17</v>
      </c>
      <c r="F215" t="s">
        <v>25</v>
      </c>
      <c r="G215">
        <v>3</v>
      </c>
      <c r="H215">
        <v>12327</v>
      </c>
      <c r="I215">
        <v>36981</v>
      </c>
      <c r="J215" s="6" t="str">
        <f t="shared" si="6"/>
        <v>Dec</v>
      </c>
      <c r="K215">
        <f t="shared" si="7"/>
        <v>36981</v>
      </c>
    </row>
    <row r="216" spans="1:11" x14ac:dyDescent="0.35">
      <c r="A216" t="s">
        <v>265</v>
      </c>
      <c r="B216" s="2">
        <v>46235</v>
      </c>
      <c r="C216" t="s">
        <v>31</v>
      </c>
      <c r="D216" t="s">
        <v>23</v>
      </c>
      <c r="E216" t="s">
        <v>24</v>
      </c>
      <c r="F216" t="s">
        <v>25</v>
      </c>
      <c r="G216">
        <v>6</v>
      </c>
      <c r="H216">
        <v>7254</v>
      </c>
      <c r="I216">
        <v>43524</v>
      </c>
      <c r="J216" s="6" t="str">
        <f t="shared" si="6"/>
        <v>Aug</v>
      </c>
      <c r="K216">
        <f t="shared" si="7"/>
        <v>43524</v>
      </c>
    </row>
    <row r="217" spans="1:11" x14ac:dyDescent="0.35">
      <c r="A217" t="s">
        <v>266</v>
      </c>
      <c r="B217" s="2">
        <v>46166</v>
      </c>
      <c r="C217" t="s">
        <v>62</v>
      </c>
      <c r="D217" t="s">
        <v>23</v>
      </c>
      <c r="E217" t="s">
        <v>24</v>
      </c>
      <c r="F217" t="s">
        <v>36</v>
      </c>
      <c r="G217">
        <v>4</v>
      </c>
      <c r="H217">
        <v>7492</v>
      </c>
      <c r="I217">
        <v>29968</v>
      </c>
      <c r="J217" s="6" t="str">
        <f t="shared" si="6"/>
        <v>May</v>
      </c>
      <c r="K217">
        <f t="shared" si="7"/>
        <v>29968</v>
      </c>
    </row>
    <row r="218" spans="1:11" x14ac:dyDescent="0.35">
      <c r="A218" t="s">
        <v>267</v>
      </c>
      <c r="B218" s="2">
        <v>46143</v>
      </c>
      <c r="C218" t="s">
        <v>41</v>
      </c>
      <c r="D218" t="s">
        <v>28</v>
      </c>
      <c r="E218" t="s">
        <v>29</v>
      </c>
      <c r="F218" t="s">
        <v>33</v>
      </c>
      <c r="G218">
        <v>4</v>
      </c>
      <c r="H218">
        <v>2478</v>
      </c>
      <c r="I218">
        <v>9912</v>
      </c>
      <c r="J218" s="6" t="str">
        <f t="shared" si="6"/>
        <v>May</v>
      </c>
      <c r="K218">
        <f t="shared" si="7"/>
        <v>9912</v>
      </c>
    </row>
    <row r="219" spans="1:11" x14ac:dyDescent="0.35">
      <c r="A219" t="s">
        <v>268</v>
      </c>
      <c r="B219" s="2">
        <v>46353</v>
      </c>
      <c r="C219" t="s">
        <v>41</v>
      </c>
      <c r="D219" t="s">
        <v>11</v>
      </c>
      <c r="E219" t="s">
        <v>12</v>
      </c>
      <c r="F219" t="s">
        <v>33</v>
      </c>
      <c r="G219">
        <v>3</v>
      </c>
      <c r="H219">
        <v>1813</v>
      </c>
      <c r="I219">
        <v>5439</v>
      </c>
      <c r="J219" s="6" t="str">
        <f t="shared" si="6"/>
        <v>Nov</v>
      </c>
      <c r="K219">
        <f t="shared" si="7"/>
        <v>5439</v>
      </c>
    </row>
    <row r="220" spans="1:11" x14ac:dyDescent="0.35">
      <c r="A220" t="s">
        <v>269</v>
      </c>
      <c r="B220" s="2">
        <v>46085</v>
      </c>
      <c r="C220" t="s">
        <v>57</v>
      </c>
      <c r="D220" t="s">
        <v>20</v>
      </c>
      <c r="E220" t="s">
        <v>17</v>
      </c>
      <c r="F220" t="s">
        <v>33</v>
      </c>
      <c r="G220">
        <v>3</v>
      </c>
      <c r="H220">
        <v>14256</v>
      </c>
      <c r="I220">
        <v>42768</v>
      </c>
      <c r="J220" s="6" t="str">
        <f t="shared" si="6"/>
        <v>Mar</v>
      </c>
      <c r="K220">
        <f t="shared" si="7"/>
        <v>42768</v>
      </c>
    </row>
    <row r="221" spans="1:11" x14ac:dyDescent="0.35">
      <c r="A221" t="s">
        <v>270</v>
      </c>
      <c r="B221" s="2">
        <v>46328</v>
      </c>
      <c r="C221" t="s">
        <v>80</v>
      </c>
      <c r="D221" t="s">
        <v>11</v>
      </c>
      <c r="E221" t="s">
        <v>12</v>
      </c>
      <c r="F221" t="s">
        <v>33</v>
      </c>
      <c r="G221">
        <v>2</v>
      </c>
      <c r="H221">
        <v>1841</v>
      </c>
      <c r="I221">
        <v>3682</v>
      </c>
      <c r="J221" s="6" t="str">
        <f t="shared" si="6"/>
        <v>Nov</v>
      </c>
      <c r="K221">
        <f t="shared" si="7"/>
        <v>3682</v>
      </c>
    </row>
    <row r="222" spans="1:11" x14ac:dyDescent="0.35">
      <c r="A222" t="s">
        <v>271</v>
      </c>
      <c r="B222" s="2">
        <v>46312</v>
      </c>
      <c r="C222" t="s">
        <v>48</v>
      </c>
      <c r="D222" t="s">
        <v>32</v>
      </c>
      <c r="E222" t="s">
        <v>29</v>
      </c>
      <c r="F222" t="s">
        <v>33</v>
      </c>
      <c r="G222">
        <v>2</v>
      </c>
      <c r="H222">
        <v>863</v>
      </c>
      <c r="I222">
        <v>1726</v>
      </c>
      <c r="J222" s="6" t="str">
        <f t="shared" si="6"/>
        <v>Oct</v>
      </c>
      <c r="K222">
        <f t="shared" si="7"/>
        <v>1726</v>
      </c>
    </row>
    <row r="223" spans="1:11" x14ac:dyDescent="0.35">
      <c r="A223" t="s">
        <v>272</v>
      </c>
      <c r="B223" s="2">
        <v>46142</v>
      </c>
      <c r="C223" t="s">
        <v>102</v>
      </c>
      <c r="D223" t="s">
        <v>42</v>
      </c>
      <c r="E223" t="s">
        <v>24</v>
      </c>
      <c r="F223" t="s">
        <v>13</v>
      </c>
      <c r="G223">
        <v>2</v>
      </c>
      <c r="H223">
        <v>8617</v>
      </c>
      <c r="I223">
        <v>17234</v>
      </c>
      <c r="J223" s="6" t="str">
        <f t="shared" si="6"/>
        <v>Apr</v>
      </c>
      <c r="K223">
        <f t="shared" si="7"/>
        <v>17234</v>
      </c>
    </row>
    <row r="224" spans="1:11" x14ac:dyDescent="0.35">
      <c r="A224" t="s">
        <v>273</v>
      </c>
      <c r="B224" s="2">
        <v>46097</v>
      </c>
      <c r="C224" t="s">
        <v>75</v>
      </c>
      <c r="D224" t="s">
        <v>23</v>
      </c>
      <c r="E224" t="s">
        <v>24</v>
      </c>
      <c r="F224" t="s">
        <v>18</v>
      </c>
      <c r="G224">
        <v>1</v>
      </c>
      <c r="H224">
        <v>6751</v>
      </c>
      <c r="I224">
        <v>6751</v>
      </c>
      <c r="J224" s="6" t="str">
        <f t="shared" si="6"/>
        <v>Mar</v>
      </c>
      <c r="K224">
        <f t="shared" si="7"/>
        <v>6751</v>
      </c>
    </row>
    <row r="225" spans="1:11" x14ac:dyDescent="0.35">
      <c r="A225" t="s">
        <v>274</v>
      </c>
      <c r="B225" s="2">
        <v>46036</v>
      </c>
      <c r="C225" t="s">
        <v>75</v>
      </c>
      <c r="D225" t="s">
        <v>59</v>
      </c>
      <c r="E225" t="s">
        <v>29</v>
      </c>
      <c r="F225" t="s">
        <v>33</v>
      </c>
      <c r="G225">
        <v>2</v>
      </c>
      <c r="H225">
        <v>1125</v>
      </c>
      <c r="I225">
        <v>2250</v>
      </c>
      <c r="J225" s="6" t="str">
        <f t="shared" si="6"/>
        <v>Jan</v>
      </c>
      <c r="K225">
        <f t="shared" si="7"/>
        <v>2250</v>
      </c>
    </row>
    <row r="226" spans="1:11" x14ac:dyDescent="0.35">
      <c r="A226" t="s">
        <v>275</v>
      </c>
      <c r="B226" s="2">
        <v>46031</v>
      </c>
      <c r="C226" t="s">
        <v>27</v>
      </c>
      <c r="D226" t="s">
        <v>32</v>
      </c>
      <c r="E226" t="s">
        <v>29</v>
      </c>
      <c r="F226" t="s">
        <v>36</v>
      </c>
      <c r="G226">
        <v>2</v>
      </c>
      <c r="H226">
        <v>811</v>
      </c>
      <c r="I226">
        <v>1622</v>
      </c>
      <c r="J226" s="6" t="str">
        <f t="shared" si="6"/>
        <v>Jan</v>
      </c>
      <c r="K226">
        <f t="shared" si="7"/>
        <v>1622</v>
      </c>
    </row>
    <row r="227" spans="1:11" x14ac:dyDescent="0.35">
      <c r="A227" t="s">
        <v>276</v>
      </c>
      <c r="B227" s="2">
        <v>46292</v>
      </c>
      <c r="C227" t="s">
        <v>31</v>
      </c>
      <c r="D227" t="s">
        <v>39</v>
      </c>
      <c r="E227" t="s">
        <v>17</v>
      </c>
      <c r="F227" t="s">
        <v>33</v>
      </c>
      <c r="G227">
        <v>2</v>
      </c>
      <c r="H227">
        <v>46740</v>
      </c>
      <c r="I227">
        <v>93480</v>
      </c>
      <c r="J227" s="6" t="str">
        <f t="shared" si="6"/>
        <v>Sep</v>
      </c>
      <c r="K227">
        <f t="shared" si="7"/>
        <v>93480</v>
      </c>
    </row>
    <row r="228" spans="1:11" x14ac:dyDescent="0.35">
      <c r="A228" t="s">
        <v>277</v>
      </c>
      <c r="B228" s="2">
        <v>46285</v>
      </c>
      <c r="C228" t="s">
        <v>55</v>
      </c>
      <c r="D228" t="s">
        <v>91</v>
      </c>
      <c r="E228" t="s">
        <v>17</v>
      </c>
      <c r="F228" t="s">
        <v>33</v>
      </c>
      <c r="G228">
        <v>4</v>
      </c>
      <c r="H228">
        <v>12534</v>
      </c>
      <c r="I228">
        <v>50136</v>
      </c>
      <c r="J228" s="6" t="str">
        <f t="shared" si="6"/>
        <v>Sep</v>
      </c>
      <c r="K228">
        <f t="shared" si="7"/>
        <v>50136</v>
      </c>
    </row>
    <row r="229" spans="1:11" x14ac:dyDescent="0.35">
      <c r="A229" t="s">
        <v>278</v>
      </c>
      <c r="B229" s="2">
        <v>46337</v>
      </c>
      <c r="C229" t="s">
        <v>62</v>
      </c>
      <c r="D229" t="s">
        <v>91</v>
      </c>
      <c r="E229" t="s">
        <v>17</v>
      </c>
      <c r="F229" t="s">
        <v>18</v>
      </c>
      <c r="G229">
        <v>5</v>
      </c>
      <c r="H229">
        <v>11465</v>
      </c>
      <c r="I229">
        <v>57325</v>
      </c>
      <c r="J229" s="6" t="str">
        <f t="shared" si="6"/>
        <v>Nov</v>
      </c>
      <c r="K229">
        <f t="shared" si="7"/>
        <v>57325</v>
      </c>
    </row>
    <row r="230" spans="1:11" x14ac:dyDescent="0.35">
      <c r="A230" t="s">
        <v>279</v>
      </c>
      <c r="B230" s="2">
        <v>46038</v>
      </c>
      <c r="C230" t="s">
        <v>62</v>
      </c>
      <c r="D230" t="s">
        <v>59</v>
      </c>
      <c r="E230" t="s">
        <v>29</v>
      </c>
      <c r="F230" t="s">
        <v>25</v>
      </c>
      <c r="G230">
        <v>4</v>
      </c>
      <c r="H230">
        <v>1228</v>
      </c>
      <c r="I230">
        <v>4912</v>
      </c>
      <c r="J230" s="6" t="str">
        <f t="shared" si="6"/>
        <v>Jan</v>
      </c>
      <c r="K230">
        <f t="shared" si="7"/>
        <v>4912</v>
      </c>
    </row>
    <row r="231" spans="1:11" x14ac:dyDescent="0.35">
      <c r="A231" t="s">
        <v>280</v>
      </c>
      <c r="B231" s="2">
        <v>46274</v>
      </c>
      <c r="C231" t="s">
        <v>57</v>
      </c>
      <c r="D231" t="s">
        <v>20</v>
      </c>
      <c r="E231" t="s">
        <v>17</v>
      </c>
      <c r="F231" t="s">
        <v>33</v>
      </c>
      <c r="G231">
        <v>4</v>
      </c>
      <c r="H231">
        <v>15447</v>
      </c>
      <c r="I231">
        <v>61788</v>
      </c>
      <c r="J231" s="6" t="str">
        <f t="shared" si="6"/>
        <v>Sep</v>
      </c>
      <c r="K231">
        <f t="shared" si="7"/>
        <v>61788</v>
      </c>
    </row>
    <row r="232" spans="1:11" x14ac:dyDescent="0.35">
      <c r="A232" t="s">
        <v>281</v>
      </c>
      <c r="B232" s="2">
        <v>46056</v>
      </c>
      <c r="C232" t="s">
        <v>75</v>
      </c>
      <c r="D232" t="s">
        <v>46</v>
      </c>
      <c r="E232" t="s">
        <v>17</v>
      </c>
      <c r="F232" t="s">
        <v>36</v>
      </c>
      <c r="G232">
        <v>3</v>
      </c>
      <c r="H232">
        <v>22381</v>
      </c>
      <c r="I232">
        <v>67143</v>
      </c>
      <c r="J232" s="6" t="str">
        <f t="shared" si="6"/>
        <v>Feb</v>
      </c>
      <c r="K232">
        <f t="shared" si="7"/>
        <v>67143</v>
      </c>
    </row>
    <row r="233" spans="1:11" x14ac:dyDescent="0.35">
      <c r="A233" t="s">
        <v>282</v>
      </c>
      <c r="B233" s="2">
        <v>46387</v>
      </c>
      <c r="C233" t="s">
        <v>102</v>
      </c>
      <c r="D233" t="s">
        <v>23</v>
      </c>
      <c r="E233" t="s">
        <v>24</v>
      </c>
      <c r="F233" t="s">
        <v>25</v>
      </c>
      <c r="G233">
        <v>6</v>
      </c>
      <c r="H233">
        <v>7096</v>
      </c>
      <c r="I233">
        <v>42576</v>
      </c>
      <c r="J233" s="6" t="str">
        <f t="shared" si="6"/>
        <v>Dec</v>
      </c>
      <c r="K233">
        <f t="shared" si="7"/>
        <v>42576</v>
      </c>
    </row>
    <row r="234" spans="1:11" x14ac:dyDescent="0.35">
      <c r="A234" t="s">
        <v>283</v>
      </c>
      <c r="B234" s="2">
        <v>46281</v>
      </c>
      <c r="C234" t="s">
        <v>35</v>
      </c>
      <c r="D234" t="s">
        <v>23</v>
      </c>
      <c r="E234" t="s">
        <v>24</v>
      </c>
      <c r="F234" t="s">
        <v>25</v>
      </c>
      <c r="G234">
        <v>5</v>
      </c>
      <c r="H234">
        <v>6770</v>
      </c>
      <c r="I234">
        <v>33850</v>
      </c>
      <c r="J234" s="6" t="str">
        <f t="shared" si="6"/>
        <v>Sep</v>
      </c>
      <c r="K234">
        <f t="shared" si="7"/>
        <v>33850</v>
      </c>
    </row>
    <row r="235" spans="1:11" x14ac:dyDescent="0.35">
      <c r="A235" t="s">
        <v>284</v>
      </c>
      <c r="B235" s="2">
        <v>46358</v>
      </c>
      <c r="C235" t="s">
        <v>22</v>
      </c>
      <c r="D235" t="s">
        <v>46</v>
      </c>
      <c r="E235" t="s">
        <v>17</v>
      </c>
      <c r="F235" t="s">
        <v>13</v>
      </c>
      <c r="G235">
        <v>6</v>
      </c>
      <c r="H235">
        <v>20643</v>
      </c>
      <c r="I235">
        <v>123858</v>
      </c>
      <c r="J235" s="6" t="str">
        <f t="shared" si="6"/>
        <v>Dec</v>
      </c>
      <c r="K235">
        <f t="shared" si="7"/>
        <v>123858</v>
      </c>
    </row>
    <row r="236" spans="1:11" x14ac:dyDescent="0.35">
      <c r="A236" t="s">
        <v>285</v>
      </c>
      <c r="B236" s="2">
        <v>46234</v>
      </c>
      <c r="C236" t="s">
        <v>102</v>
      </c>
      <c r="D236" t="s">
        <v>20</v>
      </c>
      <c r="E236" t="s">
        <v>17</v>
      </c>
      <c r="F236" t="s">
        <v>25</v>
      </c>
      <c r="G236">
        <v>4</v>
      </c>
      <c r="H236">
        <v>15931</v>
      </c>
      <c r="I236">
        <v>63724</v>
      </c>
      <c r="J236" s="6" t="str">
        <f t="shared" si="6"/>
        <v>Jul</v>
      </c>
      <c r="K236">
        <f t="shared" si="7"/>
        <v>63724</v>
      </c>
    </row>
    <row r="237" spans="1:11" x14ac:dyDescent="0.35">
      <c r="A237" t="s">
        <v>286</v>
      </c>
      <c r="B237" s="2">
        <v>46183</v>
      </c>
      <c r="C237" t="s">
        <v>64</v>
      </c>
      <c r="D237" t="s">
        <v>20</v>
      </c>
      <c r="E237" t="s">
        <v>17</v>
      </c>
      <c r="F237" t="s">
        <v>36</v>
      </c>
      <c r="G237">
        <v>4</v>
      </c>
      <c r="H237">
        <v>15551</v>
      </c>
      <c r="I237">
        <v>62204</v>
      </c>
      <c r="J237" s="6" t="str">
        <f t="shared" si="6"/>
        <v>Jun</v>
      </c>
      <c r="K237">
        <f t="shared" si="7"/>
        <v>62204</v>
      </c>
    </row>
    <row r="238" spans="1:11" x14ac:dyDescent="0.35">
      <c r="A238" t="s">
        <v>287</v>
      </c>
      <c r="B238" s="2">
        <v>46101</v>
      </c>
      <c r="C238" t="s">
        <v>85</v>
      </c>
      <c r="D238" t="s">
        <v>11</v>
      </c>
      <c r="E238" t="s">
        <v>12</v>
      </c>
      <c r="F238" t="s">
        <v>33</v>
      </c>
      <c r="G238">
        <v>3</v>
      </c>
      <c r="H238">
        <v>1764</v>
      </c>
      <c r="I238">
        <v>5292</v>
      </c>
      <c r="J238" s="6" t="str">
        <f t="shared" si="6"/>
        <v>Mar</v>
      </c>
      <c r="K238">
        <f t="shared" si="7"/>
        <v>5292</v>
      </c>
    </row>
    <row r="239" spans="1:11" x14ac:dyDescent="0.35">
      <c r="A239" t="s">
        <v>288</v>
      </c>
      <c r="B239" s="2">
        <v>46072</v>
      </c>
      <c r="C239" t="s">
        <v>41</v>
      </c>
      <c r="D239" t="s">
        <v>46</v>
      </c>
      <c r="E239" t="s">
        <v>17</v>
      </c>
      <c r="F239" t="s">
        <v>13</v>
      </c>
      <c r="G239">
        <v>1</v>
      </c>
      <c r="H239">
        <v>20568</v>
      </c>
      <c r="I239">
        <v>20568</v>
      </c>
      <c r="J239" s="6" t="str">
        <f t="shared" si="6"/>
        <v>Feb</v>
      </c>
      <c r="K239">
        <f t="shared" si="7"/>
        <v>20568</v>
      </c>
    </row>
    <row r="240" spans="1:11" x14ac:dyDescent="0.35">
      <c r="A240" t="s">
        <v>289</v>
      </c>
      <c r="B240" s="2">
        <v>46310</v>
      </c>
      <c r="C240" t="s">
        <v>22</v>
      </c>
      <c r="D240" t="s">
        <v>42</v>
      </c>
      <c r="E240" t="s">
        <v>24</v>
      </c>
      <c r="F240" t="s">
        <v>36</v>
      </c>
      <c r="G240">
        <v>1</v>
      </c>
      <c r="H240">
        <v>8618</v>
      </c>
      <c r="I240">
        <v>8618</v>
      </c>
      <c r="J240" s="6" t="str">
        <f t="shared" si="6"/>
        <v>Oct</v>
      </c>
      <c r="K240">
        <f t="shared" si="7"/>
        <v>8618</v>
      </c>
    </row>
    <row r="241" spans="1:11" x14ac:dyDescent="0.35">
      <c r="A241" t="s">
        <v>290</v>
      </c>
      <c r="B241" s="2">
        <v>46363</v>
      </c>
      <c r="C241" t="s">
        <v>64</v>
      </c>
      <c r="D241" t="s">
        <v>11</v>
      </c>
      <c r="E241" t="s">
        <v>12</v>
      </c>
      <c r="F241" t="s">
        <v>33</v>
      </c>
      <c r="G241">
        <v>1</v>
      </c>
      <c r="H241">
        <v>1774</v>
      </c>
      <c r="I241">
        <v>1774</v>
      </c>
      <c r="J241" s="6" t="str">
        <f t="shared" si="6"/>
        <v>Dec</v>
      </c>
      <c r="K241">
        <f t="shared" si="7"/>
        <v>1774</v>
      </c>
    </row>
    <row r="242" spans="1:11" x14ac:dyDescent="0.35">
      <c r="A242" t="s">
        <v>291</v>
      </c>
      <c r="B242" s="2">
        <v>46076</v>
      </c>
      <c r="C242" t="s">
        <v>55</v>
      </c>
      <c r="D242" t="s">
        <v>59</v>
      </c>
      <c r="E242" t="s">
        <v>29</v>
      </c>
      <c r="F242" t="s">
        <v>18</v>
      </c>
      <c r="G242">
        <v>5</v>
      </c>
      <c r="H242">
        <v>1164</v>
      </c>
      <c r="I242">
        <v>5820</v>
      </c>
      <c r="J242" s="6" t="str">
        <f t="shared" si="6"/>
        <v>Feb</v>
      </c>
      <c r="K242">
        <f t="shared" si="7"/>
        <v>5820</v>
      </c>
    </row>
    <row r="243" spans="1:11" x14ac:dyDescent="0.35">
      <c r="A243" t="s">
        <v>292</v>
      </c>
      <c r="B243" s="2">
        <v>46137</v>
      </c>
      <c r="C243" t="s">
        <v>31</v>
      </c>
      <c r="D243" t="s">
        <v>28</v>
      </c>
      <c r="E243" t="s">
        <v>29</v>
      </c>
      <c r="F243" t="s">
        <v>36</v>
      </c>
      <c r="G243">
        <v>2</v>
      </c>
      <c r="H243">
        <v>2563</v>
      </c>
      <c r="I243">
        <v>5126</v>
      </c>
      <c r="J243" s="6" t="str">
        <f t="shared" si="6"/>
        <v>Apr</v>
      </c>
      <c r="K243">
        <f t="shared" si="7"/>
        <v>5126</v>
      </c>
    </row>
    <row r="244" spans="1:11" x14ac:dyDescent="0.35">
      <c r="A244" t="s">
        <v>293</v>
      </c>
      <c r="B244" s="2">
        <v>46165</v>
      </c>
      <c r="C244" t="s">
        <v>55</v>
      </c>
      <c r="D244" t="s">
        <v>42</v>
      </c>
      <c r="E244" t="s">
        <v>24</v>
      </c>
      <c r="F244" t="s">
        <v>13</v>
      </c>
      <c r="G244">
        <v>3</v>
      </c>
      <c r="H244">
        <v>7976</v>
      </c>
      <c r="I244">
        <v>23928</v>
      </c>
      <c r="J244" s="6" t="str">
        <f t="shared" si="6"/>
        <v>May</v>
      </c>
      <c r="K244">
        <f t="shared" si="7"/>
        <v>23928</v>
      </c>
    </row>
    <row r="245" spans="1:11" x14ac:dyDescent="0.35">
      <c r="A245" t="s">
        <v>294</v>
      </c>
      <c r="B245" s="2">
        <v>46341</v>
      </c>
      <c r="C245" t="s">
        <v>35</v>
      </c>
      <c r="D245" t="s">
        <v>20</v>
      </c>
      <c r="E245" t="s">
        <v>17</v>
      </c>
      <c r="F245" t="s">
        <v>18</v>
      </c>
      <c r="G245">
        <v>5</v>
      </c>
      <c r="H245">
        <v>16139</v>
      </c>
      <c r="I245">
        <v>80695</v>
      </c>
      <c r="J245" s="6" t="str">
        <f t="shared" si="6"/>
        <v>Nov</v>
      </c>
      <c r="K245">
        <f t="shared" si="7"/>
        <v>80695</v>
      </c>
    </row>
    <row r="246" spans="1:11" x14ac:dyDescent="0.35">
      <c r="A246" t="s">
        <v>295</v>
      </c>
      <c r="B246" s="2">
        <v>46378</v>
      </c>
      <c r="C246" t="s">
        <v>45</v>
      </c>
      <c r="D246" t="s">
        <v>39</v>
      </c>
      <c r="E246" t="s">
        <v>17</v>
      </c>
      <c r="F246" t="s">
        <v>33</v>
      </c>
      <c r="G246">
        <v>5</v>
      </c>
      <c r="H246">
        <v>48089</v>
      </c>
      <c r="I246">
        <v>240445</v>
      </c>
      <c r="J246" s="6" t="str">
        <f t="shared" si="6"/>
        <v>Dec</v>
      </c>
      <c r="K246">
        <f t="shared" si="7"/>
        <v>240445</v>
      </c>
    </row>
    <row r="247" spans="1:11" x14ac:dyDescent="0.35">
      <c r="A247" t="s">
        <v>296</v>
      </c>
      <c r="B247" s="2">
        <v>46181</v>
      </c>
      <c r="C247" t="s">
        <v>102</v>
      </c>
      <c r="D247" t="s">
        <v>16</v>
      </c>
      <c r="E247" t="s">
        <v>17</v>
      </c>
      <c r="F247" t="s">
        <v>36</v>
      </c>
      <c r="G247">
        <v>3</v>
      </c>
      <c r="H247">
        <v>18584</v>
      </c>
      <c r="I247">
        <v>55752</v>
      </c>
      <c r="J247" s="6" t="str">
        <f t="shared" si="6"/>
        <v>Jun</v>
      </c>
      <c r="K247">
        <f t="shared" si="7"/>
        <v>55752</v>
      </c>
    </row>
    <row r="248" spans="1:11" x14ac:dyDescent="0.35">
      <c r="A248" t="s">
        <v>297</v>
      </c>
      <c r="B248" s="2">
        <v>46312</v>
      </c>
      <c r="C248" t="s">
        <v>38</v>
      </c>
      <c r="D248" t="s">
        <v>39</v>
      </c>
      <c r="E248" t="s">
        <v>17</v>
      </c>
      <c r="F248" t="s">
        <v>33</v>
      </c>
      <c r="G248">
        <v>2</v>
      </c>
      <c r="H248">
        <v>47663</v>
      </c>
      <c r="I248">
        <v>95326</v>
      </c>
      <c r="J248" s="6" t="str">
        <f t="shared" si="6"/>
        <v>Oct</v>
      </c>
      <c r="K248">
        <f t="shared" si="7"/>
        <v>95326</v>
      </c>
    </row>
    <row r="249" spans="1:11" x14ac:dyDescent="0.35">
      <c r="A249" t="s">
        <v>298</v>
      </c>
      <c r="B249" s="2">
        <v>46038</v>
      </c>
      <c r="C249" t="s">
        <v>15</v>
      </c>
      <c r="D249" t="s">
        <v>16</v>
      </c>
      <c r="E249" t="s">
        <v>17</v>
      </c>
      <c r="F249" t="s">
        <v>18</v>
      </c>
      <c r="G249">
        <v>6</v>
      </c>
      <c r="H249">
        <v>18384</v>
      </c>
      <c r="I249">
        <v>110304</v>
      </c>
      <c r="J249" s="6" t="str">
        <f t="shared" si="6"/>
        <v>Jan</v>
      </c>
      <c r="K249">
        <f t="shared" si="7"/>
        <v>110304</v>
      </c>
    </row>
    <row r="250" spans="1:11" x14ac:dyDescent="0.35">
      <c r="A250" t="s">
        <v>299</v>
      </c>
      <c r="B250" s="2">
        <v>46197</v>
      </c>
      <c r="C250" t="s">
        <v>27</v>
      </c>
      <c r="D250" t="s">
        <v>28</v>
      </c>
      <c r="E250" t="s">
        <v>29</v>
      </c>
      <c r="F250" t="s">
        <v>36</v>
      </c>
      <c r="G250">
        <v>4</v>
      </c>
      <c r="H250">
        <v>2468</v>
      </c>
      <c r="I250">
        <v>9872</v>
      </c>
      <c r="J250" s="6" t="str">
        <f t="shared" si="6"/>
        <v>Jun</v>
      </c>
      <c r="K250">
        <f t="shared" si="7"/>
        <v>9872</v>
      </c>
    </row>
    <row r="251" spans="1:11" x14ac:dyDescent="0.35">
      <c r="A251" t="s">
        <v>300</v>
      </c>
      <c r="B251" s="2">
        <v>46313</v>
      </c>
      <c r="C251" t="s">
        <v>35</v>
      </c>
      <c r="D251" t="s">
        <v>59</v>
      </c>
      <c r="E251" t="s">
        <v>29</v>
      </c>
      <c r="F251" t="s">
        <v>33</v>
      </c>
      <c r="G251">
        <v>6</v>
      </c>
      <c r="H251">
        <v>1166</v>
      </c>
      <c r="I251">
        <v>6996</v>
      </c>
      <c r="J251" s="6" t="str">
        <f t="shared" si="6"/>
        <v>Oct</v>
      </c>
      <c r="K251">
        <f t="shared" si="7"/>
        <v>6996</v>
      </c>
    </row>
    <row r="252" spans="1:11" x14ac:dyDescent="0.35">
      <c r="A252" t="s">
        <v>301</v>
      </c>
      <c r="B252" s="2">
        <v>46339</v>
      </c>
      <c r="C252" t="s">
        <v>62</v>
      </c>
      <c r="D252" t="s">
        <v>39</v>
      </c>
      <c r="E252" t="s">
        <v>17</v>
      </c>
      <c r="F252" t="s">
        <v>33</v>
      </c>
      <c r="G252">
        <v>2</v>
      </c>
      <c r="H252">
        <v>42533</v>
      </c>
      <c r="I252">
        <v>85066</v>
      </c>
      <c r="J252" s="6" t="str">
        <f t="shared" si="6"/>
        <v>Nov</v>
      </c>
      <c r="K252">
        <f t="shared" si="7"/>
        <v>85066</v>
      </c>
    </row>
    <row r="253" spans="1:11" x14ac:dyDescent="0.35">
      <c r="A253" t="s">
        <v>302</v>
      </c>
      <c r="B253" s="2">
        <v>46271</v>
      </c>
      <c r="C253" t="s">
        <v>35</v>
      </c>
      <c r="D253" t="s">
        <v>59</v>
      </c>
      <c r="E253" t="s">
        <v>29</v>
      </c>
      <c r="F253" t="s">
        <v>25</v>
      </c>
      <c r="G253">
        <v>4</v>
      </c>
      <c r="H253">
        <v>1231</v>
      </c>
      <c r="I253">
        <v>4924</v>
      </c>
      <c r="J253" s="6" t="str">
        <f t="shared" si="6"/>
        <v>Sep</v>
      </c>
      <c r="K253">
        <f t="shared" si="7"/>
        <v>4924</v>
      </c>
    </row>
    <row r="254" spans="1:11" x14ac:dyDescent="0.35">
      <c r="A254" t="s">
        <v>303</v>
      </c>
      <c r="B254" s="2">
        <v>46285</v>
      </c>
      <c r="C254" t="s">
        <v>31</v>
      </c>
      <c r="D254" t="s">
        <v>20</v>
      </c>
      <c r="E254" t="s">
        <v>17</v>
      </c>
      <c r="F254" t="s">
        <v>36</v>
      </c>
      <c r="G254">
        <v>3</v>
      </c>
      <c r="H254">
        <v>14317</v>
      </c>
      <c r="I254">
        <v>42951</v>
      </c>
      <c r="J254" s="6" t="str">
        <f t="shared" si="6"/>
        <v>Sep</v>
      </c>
      <c r="K254">
        <f t="shared" si="7"/>
        <v>42951</v>
      </c>
    </row>
    <row r="255" spans="1:11" x14ac:dyDescent="0.35">
      <c r="A255" t="s">
        <v>304</v>
      </c>
      <c r="B255" s="2">
        <v>46370</v>
      </c>
      <c r="C255" t="s">
        <v>55</v>
      </c>
      <c r="D255" t="s">
        <v>20</v>
      </c>
      <c r="E255" t="s">
        <v>17</v>
      </c>
      <c r="F255" t="s">
        <v>25</v>
      </c>
      <c r="G255">
        <v>1</v>
      </c>
      <c r="H255">
        <v>14480</v>
      </c>
      <c r="I255">
        <v>14480</v>
      </c>
      <c r="J255" s="6" t="str">
        <f t="shared" si="6"/>
        <v>Dec</v>
      </c>
      <c r="K255">
        <f t="shared" si="7"/>
        <v>14480</v>
      </c>
    </row>
    <row r="256" spans="1:11" x14ac:dyDescent="0.35">
      <c r="A256" t="s">
        <v>305</v>
      </c>
      <c r="B256" s="2">
        <v>46135</v>
      </c>
      <c r="C256" t="s">
        <v>38</v>
      </c>
      <c r="D256" t="s">
        <v>42</v>
      </c>
      <c r="E256" t="s">
        <v>24</v>
      </c>
      <c r="F256" t="s">
        <v>18</v>
      </c>
      <c r="G256">
        <v>6</v>
      </c>
      <c r="H256">
        <v>8239</v>
      </c>
      <c r="I256">
        <v>49434</v>
      </c>
      <c r="J256" s="6" t="str">
        <f t="shared" si="6"/>
        <v>Apr</v>
      </c>
      <c r="K256">
        <f t="shared" si="7"/>
        <v>49434</v>
      </c>
    </row>
    <row r="257" spans="1:11" x14ac:dyDescent="0.35">
      <c r="A257" t="s">
        <v>306</v>
      </c>
      <c r="B257" s="2">
        <v>46131</v>
      </c>
      <c r="C257" t="s">
        <v>75</v>
      </c>
      <c r="D257" t="s">
        <v>39</v>
      </c>
      <c r="E257" t="s">
        <v>17</v>
      </c>
      <c r="F257" t="s">
        <v>36</v>
      </c>
      <c r="G257">
        <v>1</v>
      </c>
      <c r="H257">
        <v>42872</v>
      </c>
      <c r="I257">
        <v>42872</v>
      </c>
      <c r="J257" s="6" t="str">
        <f t="shared" si="6"/>
        <v>Apr</v>
      </c>
      <c r="K257">
        <f t="shared" si="7"/>
        <v>42872</v>
      </c>
    </row>
    <row r="258" spans="1:11" x14ac:dyDescent="0.35">
      <c r="A258" t="s">
        <v>307</v>
      </c>
      <c r="B258" s="2">
        <v>46277</v>
      </c>
      <c r="C258" t="s">
        <v>64</v>
      </c>
      <c r="D258" t="s">
        <v>59</v>
      </c>
      <c r="E258" t="s">
        <v>29</v>
      </c>
      <c r="F258" t="s">
        <v>13</v>
      </c>
      <c r="G258">
        <v>3</v>
      </c>
      <c r="H258">
        <v>1127</v>
      </c>
      <c r="I258">
        <v>3381</v>
      </c>
      <c r="J258" s="6" t="str">
        <f t="shared" si="6"/>
        <v>Sep</v>
      </c>
      <c r="K258">
        <f t="shared" si="7"/>
        <v>3381</v>
      </c>
    </row>
    <row r="259" spans="1:11" x14ac:dyDescent="0.35">
      <c r="A259" t="s">
        <v>308</v>
      </c>
      <c r="B259" s="2">
        <v>46140</v>
      </c>
      <c r="C259" t="s">
        <v>66</v>
      </c>
      <c r="D259" t="s">
        <v>16</v>
      </c>
      <c r="E259" t="s">
        <v>17</v>
      </c>
      <c r="F259" t="s">
        <v>18</v>
      </c>
      <c r="G259">
        <v>4</v>
      </c>
      <c r="H259">
        <v>18094</v>
      </c>
      <c r="I259">
        <v>72376</v>
      </c>
      <c r="J259" s="6" t="str">
        <f t="shared" ref="J259:J322" si="8">TEXT(B259,"mmm")</f>
        <v>Apr</v>
      </c>
      <c r="K259">
        <f t="shared" ref="K259:K322" si="9">G259*H259</f>
        <v>72376</v>
      </c>
    </row>
    <row r="260" spans="1:11" x14ac:dyDescent="0.35">
      <c r="A260" t="s">
        <v>309</v>
      </c>
      <c r="B260" s="2">
        <v>46044</v>
      </c>
      <c r="C260" t="s">
        <v>64</v>
      </c>
      <c r="D260" t="s">
        <v>11</v>
      </c>
      <c r="E260" t="s">
        <v>12</v>
      </c>
      <c r="F260" t="s">
        <v>33</v>
      </c>
      <c r="G260">
        <v>3</v>
      </c>
      <c r="H260">
        <v>1677</v>
      </c>
      <c r="I260">
        <v>5031</v>
      </c>
      <c r="J260" s="6" t="str">
        <f t="shared" si="8"/>
        <v>Jan</v>
      </c>
      <c r="K260">
        <f t="shared" si="9"/>
        <v>5031</v>
      </c>
    </row>
    <row r="261" spans="1:11" x14ac:dyDescent="0.35">
      <c r="A261" t="s">
        <v>310</v>
      </c>
      <c r="B261" s="2">
        <v>46317</v>
      </c>
      <c r="C261" t="s">
        <v>64</v>
      </c>
      <c r="D261" t="s">
        <v>91</v>
      </c>
      <c r="E261" t="s">
        <v>17</v>
      </c>
      <c r="F261" t="s">
        <v>18</v>
      </c>
      <c r="G261">
        <v>1</v>
      </c>
      <c r="H261">
        <v>12695</v>
      </c>
      <c r="I261">
        <v>12695</v>
      </c>
      <c r="J261" s="6" t="str">
        <f t="shared" si="8"/>
        <v>Oct</v>
      </c>
      <c r="K261">
        <f t="shared" si="9"/>
        <v>12695</v>
      </c>
    </row>
    <row r="262" spans="1:11" x14ac:dyDescent="0.35">
      <c r="A262" t="s">
        <v>311</v>
      </c>
      <c r="B262" s="2">
        <v>46171</v>
      </c>
      <c r="C262" t="s">
        <v>31</v>
      </c>
      <c r="D262" t="s">
        <v>20</v>
      </c>
      <c r="E262" t="s">
        <v>17</v>
      </c>
      <c r="F262" t="s">
        <v>25</v>
      </c>
      <c r="G262">
        <v>6</v>
      </c>
      <c r="H262">
        <v>15336</v>
      </c>
      <c r="I262">
        <v>92016</v>
      </c>
      <c r="J262" s="6" t="str">
        <f t="shared" si="8"/>
        <v>May</v>
      </c>
      <c r="K262">
        <f t="shared" si="9"/>
        <v>92016</v>
      </c>
    </row>
    <row r="263" spans="1:11" x14ac:dyDescent="0.35">
      <c r="A263" t="s">
        <v>312</v>
      </c>
      <c r="B263" s="2">
        <v>46339</v>
      </c>
      <c r="C263" t="s">
        <v>57</v>
      </c>
      <c r="D263" t="s">
        <v>39</v>
      </c>
      <c r="E263" t="s">
        <v>17</v>
      </c>
      <c r="F263" t="s">
        <v>36</v>
      </c>
      <c r="G263">
        <v>3</v>
      </c>
      <c r="H263">
        <v>42637</v>
      </c>
      <c r="I263">
        <v>127911</v>
      </c>
      <c r="J263" s="6" t="str">
        <f t="shared" si="8"/>
        <v>Nov</v>
      </c>
      <c r="K263">
        <f t="shared" si="9"/>
        <v>127911</v>
      </c>
    </row>
    <row r="264" spans="1:11" x14ac:dyDescent="0.35">
      <c r="A264" t="s">
        <v>313</v>
      </c>
      <c r="B264" s="2">
        <v>46147</v>
      </c>
      <c r="C264" t="s">
        <v>64</v>
      </c>
      <c r="D264" t="s">
        <v>46</v>
      </c>
      <c r="E264" t="s">
        <v>17</v>
      </c>
      <c r="F264" t="s">
        <v>18</v>
      </c>
      <c r="G264">
        <v>4</v>
      </c>
      <c r="H264">
        <v>23213</v>
      </c>
      <c r="I264">
        <v>92852</v>
      </c>
      <c r="J264" s="6" t="str">
        <f t="shared" si="8"/>
        <v>May</v>
      </c>
      <c r="K264">
        <f t="shared" si="9"/>
        <v>92852</v>
      </c>
    </row>
    <row r="265" spans="1:11" x14ac:dyDescent="0.35">
      <c r="A265" t="s">
        <v>314</v>
      </c>
      <c r="B265" s="2">
        <v>46181</v>
      </c>
      <c r="C265" t="s">
        <v>102</v>
      </c>
      <c r="D265" t="s">
        <v>20</v>
      </c>
      <c r="E265" t="s">
        <v>17</v>
      </c>
      <c r="F265" t="s">
        <v>13</v>
      </c>
      <c r="G265">
        <v>5</v>
      </c>
      <c r="H265">
        <v>13989</v>
      </c>
      <c r="I265">
        <v>69945</v>
      </c>
      <c r="J265" s="6" t="str">
        <f t="shared" si="8"/>
        <v>Jun</v>
      </c>
      <c r="K265">
        <f t="shared" si="9"/>
        <v>69945</v>
      </c>
    </row>
    <row r="266" spans="1:11" x14ac:dyDescent="0.35">
      <c r="A266" t="s">
        <v>315</v>
      </c>
      <c r="B266" s="2">
        <v>46347</v>
      </c>
      <c r="C266" t="s">
        <v>31</v>
      </c>
      <c r="D266" t="s">
        <v>32</v>
      </c>
      <c r="E266" t="s">
        <v>29</v>
      </c>
      <c r="F266" t="s">
        <v>18</v>
      </c>
      <c r="G266">
        <v>2</v>
      </c>
      <c r="H266">
        <v>746</v>
      </c>
      <c r="I266">
        <v>1492</v>
      </c>
      <c r="J266" s="6" t="str">
        <f t="shared" si="8"/>
        <v>Nov</v>
      </c>
      <c r="K266">
        <f t="shared" si="9"/>
        <v>1492</v>
      </c>
    </row>
    <row r="267" spans="1:11" x14ac:dyDescent="0.35">
      <c r="A267" t="s">
        <v>316</v>
      </c>
      <c r="B267" s="2">
        <v>46201</v>
      </c>
      <c r="C267" t="s">
        <v>41</v>
      </c>
      <c r="D267" t="s">
        <v>42</v>
      </c>
      <c r="E267" t="s">
        <v>24</v>
      </c>
      <c r="F267" t="s">
        <v>13</v>
      </c>
      <c r="G267">
        <v>2</v>
      </c>
      <c r="H267">
        <v>9052</v>
      </c>
      <c r="I267">
        <v>18104</v>
      </c>
      <c r="J267" s="6" t="str">
        <f t="shared" si="8"/>
        <v>Jun</v>
      </c>
      <c r="K267">
        <f t="shared" si="9"/>
        <v>18104</v>
      </c>
    </row>
    <row r="268" spans="1:11" x14ac:dyDescent="0.35">
      <c r="A268" t="s">
        <v>317</v>
      </c>
      <c r="B268" s="2">
        <v>46124</v>
      </c>
      <c r="C268" t="s">
        <v>27</v>
      </c>
      <c r="D268" t="s">
        <v>28</v>
      </c>
      <c r="E268" t="s">
        <v>29</v>
      </c>
      <c r="F268" t="s">
        <v>18</v>
      </c>
      <c r="G268">
        <v>1</v>
      </c>
      <c r="H268">
        <v>2359</v>
      </c>
      <c r="I268">
        <v>2359</v>
      </c>
      <c r="J268" s="6" t="str">
        <f t="shared" si="8"/>
        <v>Apr</v>
      </c>
      <c r="K268">
        <f t="shared" si="9"/>
        <v>2359</v>
      </c>
    </row>
    <row r="269" spans="1:11" x14ac:dyDescent="0.35">
      <c r="A269" t="s">
        <v>318</v>
      </c>
      <c r="B269" s="2">
        <v>46344</v>
      </c>
      <c r="C269" t="s">
        <v>85</v>
      </c>
      <c r="D269" t="s">
        <v>16</v>
      </c>
      <c r="E269" t="s">
        <v>17</v>
      </c>
      <c r="F269" t="s">
        <v>25</v>
      </c>
      <c r="G269">
        <v>6</v>
      </c>
      <c r="H269">
        <v>16777</v>
      </c>
      <c r="I269">
        <v>100662</v>
      </c>
      <c r="J269" s="6" t="str">
        <f t="shared" si="8"/>
        <v>Nov</v>
      </c>
      <c r="K269">
        <f t="shared" si="9"/>
        <v>100662</v>
      </c>
    </row>
    <row r="270" spans="1:11" x14ac:dyDescent="0.35">
      <c r="A270" t="s">
        <v>319</v>
      </c>
      <c r="B270" s="2">
        <v>46312</v>
      </c>
      <c r="C270" t="s">
        <v>35</v>
      </c>
      <c r="D270" t="s">
        <v>23</v>
      </c>
      <c r="E270" t="s">
        <v>24</v>
      </c>
      <c r="F270" t="s">
        <v>36</v>
      </c>
      <c r="G270">
        <v>5</v>
      </c>
      <c r="H270">
        <v>6943</v>
      </c>
      <c r="I270">
        <v>34715</v>
      </c>
      <c r="J270" s="6" t="str">
        <f t="shared" si="8"/>
        <v>Oct</v>
      </c>
      <c r="K270">
        <f t="shared" si="9"/>
        <v>34715</v>
      </c>
    </row>
    <row r="271" spans="1:11" x14ac:dyDescent="0.35">
      <c r="A271" t="s">
        <v>320</v>
      </c>
      <c r="B271" s="2">
        <v>46057</v>
      </c>
      <c r="C271" t="s">
        <v>85</v>
      </c>
      <c r="D271" t="s">
        <v>11</v>
      </c>
      <c r="E271" t="s">
        <v>12</v>
      </c>
      <c r="F271" t="s">
        <v>25</v>
      </c>
      <c r="G271">
        <v>3</v>
      </c>
      <c r="H271">
        <v>1699</v>
      </c>
      <c r="I271">
        <v>5097</v>
      </c>
      <c r="J271" s="6" t="str">
        <f t="shared" si="8"/>
        <v>Feb</v>
      </c>
      <c r="K271">
        <f t="shared" si="9"/>
        <v>5097</v>
      </c>
    </row>
    <row r="272" spans="1:11" x14ac:dyDescent="0.35">
      <c r="A272" t="s">
        <v>321</v>
      </c>
      <c r="B272" s="2">
        <v>46325</v>
      </c>
      <c r="C272" t="s">
        <v>62</v>
      </c>
      <c r="D272" t="s">
        <v>11</v>
      </c>
      <c r="E272" t="s">
        <v>12</v>
      </c>
      <c r="F272" t="s">
        <v>36</v>
      </c>
      <c r="G272">
        <v>3</v>
      </c>
      <c r="H272">
        <v>1885</v>
      </c>
      <c r="I272">
        <v>5655</v>
      </c>
      <c r="J272" s="6" t="str">
        <f t="shared" si="8"/>
        <v>Oct</v>
      </c>
      <c r="K272">
        <f t="shared" si="9"/>
        <v>5655</v>
      </c>
    </row>
    <row r="273" spans="1:11" x14ac:dyDescent="0.35">
      <c r="A273" t="s">
        <v>322</v>
      </c>
      <c r="B273" s="2">
        <v>46254</v>
      </c>
      <c r="C273" t="s">
        <v>62</v>
      </c>
      <c r="D273" t="s">
        <v>42</v>
      </c>
      <c r="E273" t="s">
        <v>24</v>
      </c>
      <c r="F273" t="s">
        <v>33</v>
      </c>
      <c r="G273">
        <v>1</v>
      </c>
      <c r="H273">
        <v>8242</v>
      </c>
      <c r="I273">
        <v>8242</v>
      </c>
      <c r="J273" s="6" t="str">
        <f t="shared" si="8"/>
        <v>Aug</v>
      </c>
      <c r="K273">
        <f t="shared" si="9"/>
        <v>8242</v>
      </c>
    </row>
    <row r="274" spans="1:11" x14ac:dyDescent="0.35">
      <c r="A274" t="s">
        <v>323</v>
      </c>
      <c r="B274" s="2">
        <v>46069</v>
      </c>
      <c r="C274" t="s">
        <v>35</v>
      </c>
      <c r="D274" t="s">
        <v>32</v>
      </c>
      <c r="E274" t="s">
        <v>29</v>
      </c>
      <c r="F274" t="s">
        <v>18</v>
      </c>
      <c r="G274">
        <v>3</v>
      </c>
      <c r="H274">
        <v>746</v>
      </c>
      <c r="I274">
        <v>2238</v>
      </c>
      <c r="J274" s="6" t="str">
        <f t="shared" si="8"/>
        <v>Feb</v>
      </c>
      <c r="K274">
        <f t="shared" si="9"/>
        <v>2238</v>
      </c>
    </row>
    <row r="275" spans="1:11" x14ac:dyDescent="0.35">
      <c r="A275" t="s">
        <v>324</v>
      </c>
      <c r="B275" s="2">
        <v>46306</v>
      </c>
      <c r="C275" t="s">
        <v>62</v>
      </c>
      <c r="D275" t="s">
        <v>42</v>
      </c>
      <c r="E275" t="s">
        <v>24</v>
      </c>
      <c r="F275" t="s">
        <v>25</v>
      </c>
      <c r="G275">
        <v>4</v>
      </c>
      <c r="H275">
        <v>8449</v>
      </c>
      <c r="I275">
        <v>33796</v>
      </c>
      <c r="J275" s="6" t="str">
        <f t="shared" si="8"/>
        <v>Oct</v>
      </c>
      <c r="K275">
        <f t="shared" si="9"/>
        <v>33796</v>
      </c>
    </row>
    <row r="276" spans="1:11" x14ac:dyDescent="0.35">
      <c r="A276" t="s">
        <v>325</v>
      </c>
      <c r="B276" s="2">
        <v>46332</v>
      </c>
      <c r="C276" t="s">
        <v>85</v>
      </c>
      <c r="D276" t="s">
        <v>23</v>
      </c>
      <c r="E276" t="s">
        <v>24</v>
      </c>
      <c r="F276" t="s">
        <v>18</v>
      </c>
      <c r="G276">
        <v>6</v>
      </c>
      <c r="H276">
        <v>6651</v>
      </c>
      <c r="I276">
        <v>39906</v>
      </c>
      <c r="J276" s="6" t="str">
        <f t="shared" si="8"/>
        <v>Nov</v>
      </c>
      <c r="K276">
        <f t="shared" si="9"/>
        <v>39906</v>
      </c>
    </row>
    <row r="277" spans="1:11" x14ac:dyDescent="0.35">
      <c r="A277" t="s">
        <v>326</v>
      </c>
      <c r="B277" s="2">
        <v>46198</v>
      </c>
      <c r="C277" t="s">
        <v>15</v>
      </c>
      <c r="D277" t="s">
        <v>16</v>
      </c>
      <c r="E277" t="s">
        <v>17</v>
      </c>
      <c r="F277" t="s">
        <v>18</v>
      </c>
      <c r="G277">
        <v>1</v>
      </c>
      <c r="H277">
        <v>17858</v>
      </c>
      <c r="I277">
        <v>17858</v>
      </c>
      <c r="J277" s="6" t="str">
        <f t="shared" si="8"/>
        <v>Jun</v>
      </c>
      <c r="K277">
        <f t="shared" si="9"/>
        <v>17858</v>
      </c>
    </row>
    <row r="278" spans="1:11" x14ac:dyDescent="0.35">
      <c r="A278" t="s">
        <v>327</v>
      </c>
      <c r="B278" s="2">
        <v>46385</v>
      </c>
      <c r="C278" t="s">
        <v>57</v>
      </c>
      <c r="D278" t="s">
        <v>11</v>
      </c>
      <c r="E278" t="s">
        <v>12</v>
      </c>
      <c r="F278" t="s">
        <v>25</v>
      </c>
      <c r="G278">
        <v>2</v>
      </c>
      <c r="H278">
        <v>1667</v>
      </c>
      <c r="I278">
        <v>3334</v>
      </c>
      <c r="J278" s="6" t="str">
        <f t="shared" si="8"/>
        <v>Dec</v>
      </c>
      <c r="K278">
        <f t="shared" si="9"/>
        <v>3334</v>
      </c>
    </row>
    <row r="279" spans="1:11" x14ac:dyDescent="0.35">
      <c r="A279" t="s">
        <v>328</v>
      </c>
      <c r="B279" s="2">
        <v>46209</v>
      </c>
      <c r="C279" t="s">
        <v>41</v>
      </c>
      <c r="D279" t="s">
        <v>42</v>
      </c>
      <c r="E279" t="s">
        <v>24</v>
      </c>
      <c r="F279" t="s">
        <v>36</v>
      </c>
      <c r="G279">
        <v>5</v>
      </c>
      <c r="H279">
        <v>8649</v>
      </c>
      <c r="I279">
        <v>43245</v>
      </c>
      <c r="J279" s="6" t="str">
        <f t="shared" si="8"/>
        <v>Jul</v>
      </c>
      <c r="K279">
        <f t="shared" si="9"/>
        <v>43245</v>
      </c>
    </row>
    <row r="280" spans="1:11" x14ac:dyDescent="0.35">
      <c r="A280" t="s">
        <v>329</v>
      </c>
      <c r="B280" s="2">
        <v>46370</v>
      </c>
      <c r="C280" t="s">
        <v>35</v>
      </c>
      <c r="D280" t="s">
        <v>20</v>
      </c>
      <c r="E280" t="s">
        <v>17</v>
      </c>
      <c r="F280" t="s">
        <v>33</v>
      </c>
      <c r="G280">
        <v>4</v>
      </c>
      <c r="H280">
        <v>15659</v>
      </c>
      <c r="I280">
        <v>62636</v>
      </c>
      <c r="J280" s="6" t="str">
        <f t="shared" si="8"/>
        <v>Dec</v>
      </c>
      <c r="K280">
        <f t="shared" si="9"/>
        <v>62636</v>
      </c>
    </row>
    <row r="281" spans="1:11" x14ac:dyDescent="0.35">
      <c r="A281" t="s">
        <v>330</v>
      </c>
      <c r="B281" s="2">
        <v>46191</v>
      </c>
      <c r="C281" t="s">
        <v>31</v>
      </c>
      <c r="D281" t="s">
        <v>11</v>
      </c>
      <c r="E281" t="s">
        <v>12</v>
      </c>
      <c r="F281" t="s">
        <v>18</v>
      </c>
      <c r="G281">
        <v>6</v>
      </c>
      <c r="H281">
        <v>1752</v>
      </c>
      <c r="I281">
        <v>10512</v>
      </c>
      <c r="J281" s="6" t="str">
        <f t="shared" si="8"/>
        <v>Jun</v>
      </c>
      <c r="K281">
        <f t="shared" si="9"/>
        <v>10512</v>
      </c>
    </row>
    <row r="282" spans="1:11" x14ac:dyDescent="0.35">
      <c r="A282" t="s">
        <v>331</v>
      </c>
      <c r="B282" s="2">
        <v>46359</v>
      </c>
      <c r="C282" t="s">
        <v>35</v>
      </c>
      <c r="D282" t="s">
        <v>11</v>
      </c>
      <c r="E282" t="s">
        <v>12</v>
      </c>
      <c r="F282" t="s">
        <v>13</v>
      </c>
      <c r="G282">
        <v>4</v>
      </c>
      <c r="H282">
        <v>1738</v>
      </c>
      <c r="I282">
        <v>6952</v>
      </c>
      <c r="J282" s="6" t="str">
        <f t="shared" si="8"/>
        <v>Dec</v>
      </c>
      <c r="K282">
        <f t="shared" si="9"/>
        <v>6952</v>
      </c>
    </row>
    <row r="283" spans="1:11" x14ac:dyDescent="0.35">
      <c r="A283" t="s">
        <v>332</v>
      </c>
      <c r="B283" s="2">
        <v>46095</v>
      </c>
      <c r="C283" t="s">
        <v>41</v>
      </c>
      <c r="D283" t="s">
        <v>32</v>
      </c>
      <c r="E283" t="s">
        <v>29</v>
      </c>
      <c r="F283" t="s">
        <v>36</v>
      </c>
      <c r="G283">
        <v>1</v>
      </c>
      <c r="H283">
        <v>811</v>
      </c>
      <c r="I283">
        <v>811</v>
      </c>
      <c r="J283" s="6" t="str">
        <f t="shared" si="8"/>
        <v>Mar</v>
      </c>
      <c r="K283">
        <f t="shared" si="9"/>
        <v>811</v>
      </c>
    </row>
    <row r="284" spans="1:11" x14ac:dyDescent="0.35">
      <c r="A284" t="s">
        <v>333</v>
      </c>
      <c r="B284" s="2">
        <v>46089</v>
      </c>
      <c r="C284" t="s">
        <v>35</v>
      </c>
      <c r="D284" t="s">
        <v>11</v>
      </c>
      <c r="E284" t="s">
        <v>12</v>
      </c>
      <c r="F284" t="s">
        <v>33</v>
      </c>
      <c r="G284">
        <v>6</v>
      </c>
      <c r="H284">
        <v>1847</v>
      </c>
      <c r="I284">
        <v>11082</v>
      </c>
      <c r="J284" s="6" t="str">
        <f t="shared" si="8"/>
        <v>Mar</v>
      </c>
      <c r="K284">
        <f t="shared" si="9"/>
        <v>11082</v>
      </c>
    </row>
    <row r="285" spans="1:11" x14ac:dyDescent="0.35">
      <c r="A285" t="s">
        <v>334</v>
      </c>
      <c r="B285" s="2">
        <v>46191</v>
      </c>
      <c r="C285" t="s">
        <v>75</v>
      </c>
      <c r="D285" t="s">
        <v>59</v>
      </c>
      <c r="E285" t="s">
        <v>29</v>
      </c>
      <c r="F285" t="s">
        <v>18</v>
      </c>
      <c r="G285">
        <v>5</v>
      </c>
      <c r="H285">
        <v>1176</v>
      </c>
      <c r="I285">
        <v>5880</v>
      </c>
      <c r="J285" s="6" t="str">
        <f t="shared" si="8"/>
        <v>Jun</v>
      </c>
      <c r="K285">
        <f t="shared" si="9"/>
        <v>5880</v>
      </c>
    </row>
    <row r="286" spans="1:11" x14ac:dyDescent="0.35">
      <c r="A286" t="s">
        <v>335</v>
      </c>
      <c r="B286" s="2">
        <v>46283</v>
      </c>
      <c r="C286" t="s">
        <v>41</v>
      </c>
      <c r="D286" t="s">
        <v>46</v>
      </c>
      <c r="E286" t="s">
        <v>17</v>
      </c>
      <c r="F286" t="s">
        <v>33</v>
      </c>
      <c r="G286">
        <v>6</v>
      </c>
      <c r="H286">
        <v>22600</v>
      </c>
      <c r="I286">
        <v>135600</v>
      </c>
      <c r="J286" s="6" t="str">
        <f t="shared" si="8"/>
        <v>Sep</v>
      </c>
      <c r="K286">
        <f t="shared" si="9"/>
        <v>135600</v>
      </c>
    </row>
    <row r="287" spans="1:11" x14ac:dyDescent="0.35">
      <c r="A287" t="s">
        <v>336</v>
      </c>
      <c r="B287" s="2">
        <v>46132</v>
      </c>
      <c r="C287" t="s">
        <v>102</v>
      </c>
      <c r="D287" t="s">
        <v>32</v>
      </c>
      <c r="E287" t="s">
        <v>29</v>
      </c>
      <c r="F287" t="s">
        <v>25</v>
      </c>
      <c r="G287">
        <v>3</v>
      </c>
      <c r="H287">
        <v>759</v>
      </c>
      <c r="I287">
        <v>2277</v>
      </c>
      <c r="J287" s="6" t="str">
        <f t="shared" si="8"/>
        <v>Apr</v>
      </c>
      <c r="K287">
        <f t="shared" si="9"/>
        <v>2277</v>
      </c>
    </row>
    <row r="288" spans="1:11" x14ac:dyDescent="0.35">
      <c r="A288" t="s">
        <v>337</v>
      </c>
      <c r="B288" s="2">
        <v>46102</v>
      </c>
      <c r="C288" t="s">
        <v>15</v>
      </c>
      <c r="D288" t="s">
        <v>28</v>
      </c>
      <c r="E288" t="s">
        <v>29</v>
      </c>
      <c r="F288" t="s">
        <v>36</v>
      </c>
      <c r="G288">
        <v>2</v>
      </c>
      <c r="H288">
        <v>2700</v>
      </c>
      <c r="I288">
        <v>5400</v>
      </c>
      <c r="J288" s="6" t="str">
        <f t="shared" si="8"/>
        <v>Mar</v>
      </c>
      <c r="K288">
        <f t="shared" si="9"/>
        <v>5400</v>
      </c>
    </row>
    <row r="289" spans="1:11" x14ac:dyDescent="0.35">
      <c r="A289" t="s">
        <v>338</v>
      </c>
      <c r="B289" s="2">
        <v>46292</v>
      </c>
      <c r="C289" t="s">
        <v>62</v>
      </c>
      <c r="D289" t="s">
        <v>46</v>
      </c>
      <c r="E289" t="s">
        <v>17</v>
      </c>
      <c r="F289" t="s">
        <v>36</v>
      </c>
      <c r="G289">
        <v>5</v>
      </c>
      <c r="H289">
        <v>22953</v>
      </c>
      <c r="I289">
        <v>114765</v>
      </c>
      <c r="J289" s="6" t="str">
        <f t="shared" si="8"/>
        <v>Sep</v>
      </c>
      <c r="K289">
        <f t="shared" si="9"/>
        <v>114765</v>
      </c>
    </row>
    <row r="290" spans="1:11" x14ac:dyDescent="0.35">
      <c r="A290" t="s">
        <v>339</v>
      </c>
      <c r="B290" s="2">
        <v>46101</v>
      </c>
      <c r="C290" t="s">
        <v>27</v>
      </c>
      <c r="D290" t="s">
        <v>23</v>
      </c>
      <c r="E290" t="s">
        <v>24</v>
      </c>
      <c r="F290" t="s">
        <v>13</v>
      </c>
      <c r="G290">
        <v>2</v>
      </c>
      <c r="H290">
        <v>7109</v>
      </c>
      <c r="I290">
        <v>14218</v>
      </c>
      <c r="J290" s="6" t="str">
        <f t="shared" si="8"/>
        <v>Mar</v>
      </c>
      <c r="K290">
        <f t="shared" si="9"/>
        <v>14218</v>
      </c>
    </row>
    <row r="291" spans="1:11" x14ac:dyDescent="0.35">
      <c r="A291" t="s">
        <v>340</v>
      </c>
      <c r="B291" s="2">
        <v>46107</v>
      </c>
      <c r="C291" t="s">
        <v>57</v>
      </c>
      <c r="D291" t="s">
        <v>50</v>
      </c>
      <c r="E291" t="s">
        <v>51</v>
      </c>
      <c r="F291" t="s">
        <v>33</v>
      </c>
      <c r="G291">
        <v>5</v>
      </c>
      <c r="H291">
        <v>262</v>
      </c>
      <c r="I291">
        <v>1310</v>
      </c>
      <c r="J291" s="6" t="str">
        <f t="shared" si="8"/>
        <v>Mar</v>
      </c>
      <c r="K291">
        <f t="shared" si="9"/>
        <v>1310</v>
      </c>
    </row>
    <row r="292" spans="1:11" x14ac:dyDescent="0.35">
      <c r="A292" t="s">
        <v>341</v>
      </c>
      <c r="B292" s="2">
        <v>46144</v>
      </c>
      <c r="C292" t="s">
        <v>57</v>
      </c>
      <c r="D292" t="s">
        <v>20</v>
      </c>
      <c r="E292" t="s">
        <v>17</v>
      </c>
      <c r="F292" t="s">
        <v>18</v>
      </c>
      <c r="G292">
        <v>3</v>
      </c>
      <c r="H292">
        <v>15423</v>
      </c>
      <c r="I292">
        <v>46269</v>
      </c>
      <c r="J292" s="6" t="str">
        <f t="shared" si="8"/>
        <v>May</v>
      </c>
      <c r="K292">
        <f t="shared" si="9"/>
        <v>46269</v>
      </c>
    </row>
    <row r="293" spans="1:11" x14ac:dyDescent="0.35">
      <c r="A293" t="s">
        <v>342</v>
      </c>
      <c r="B293" s="2">
        <v>46142</v>
      </c>
      <c r="C293" t="s">
        <v>22</v>
      </c>
      <c r="D293" t="s">
        <v>59</v>
      </c>
      <c r="E293" t="s">
        <v>29</v>
      </c>
      <c r="F293" t="s">
        <v>13</v>
      </c>
      <c r="G293">
        <v>6</v>
      </c>
      <c r="H293">
        <v>1254</v>
      </c>
      <c r="I293">
        <v>7524</v>
      </c>
      <c r="J293" s="6" t="str">
        <f t="shared" si="8"/>
        <v>Apr</v>
      </c>
      <c r="K293">
        <f t="shared" si="9"/>
        <v>7524</v>
      </c>
    </row>
    <row r="294" spans="1:11" x14ac:dyDescent="0.35">
      <c r="A294" t="s">
        <v>343</v>
      </c>
      <c r="B294" s="2">
        <v>46122</v>
      </c>
      <c r="C294" t="s">
        <v>41</v>
      </c>
      <c r="D294" t="s">
        <v>59</v>
      </c>
      <c r="E294" t="s">
        <v>29</v>
      </c>
      <c r="F294" t="s">
        <v>18</v>
      </c>
      <c r="G294">
        <v>4</v>
      </c>
      <c r="H294">
        <v>1278</v>
      </c>
      <c r="I294">
        <v>5112</v>
      </c>
      <c r="J294" s="6" t="str">
        <f t="shared" si="8"/>
        <v>Apr</v>
      </c>
      <c r="K294">
        <f t="shared" si="9"/>
        <v>5112</v>
      </c>
    </row>
    <row r="295" spans="1:11" x14ac:dyDescent="0.35">
      <c r="A295" t="s">
        <v>344</v>
      </c>
      <c r="B295" s="2">
        <v>46218</v>
      </c>
      <c r="C295" t="s">
        <v>66</v>
      </c>
      <c r="D295" t="s">
        <v>91</v>
      </c>
      <c r="E295" t="s">
        <v>17</v>
      </c>
      <c r="F295" t="s">
        <v>18</v>
      </c>
      <c r="G295">
        <v>4</v>
      </c>
      <c r="H295">
        <v>12517</v>
      </c>
      <c r="I295">
        <v>50068</v>
      </c>
      <c r="J295" s="6" t="str">
        <f t="shared" si="8"/>
        <v>Jul</v>
      </c>
      <c r="K295">
        <f t="shared" si="9"/>
        <v>50068</v>
      </c>
    </row>
    <row r="296" spans="1:11" x14ac:dyDescent="0.35">
      <c r="A296" t="s">
        <v>345</v>
      </c>
      <c r="B296" s="2">
        <v>46332</v>
      </c>
      <c r="C296" t="s">
        <v>75</v>
      </c>
      <c r="D296" t="s">
        <v>20</v>
      </c>
      <c r="E296" t="s">
        <v>17</v>
      </c>
      <c r="F296" t="s">
        <v>36</v>
      </c>
      <c r="G296">
        <v>2</v>
      </c>
      <c r="H296">
        <v>15761</v>
      </c>
      <c r="I296">
        <v>31522</v>
      </c>
      <c r="J296" s="6" t="str">
        <f t="shared" si="8"/>
        <v>Nov</v>
      </c>
      <c r="K296">
        <f t="shared" si="9"/>
        <v>31522</v>
      </c>
    </row>
    <row r="297" spans="1:11" x14ac:dyDescent="0.35">
      <c r="A297" t="s">
        <v>346</v>
      </c>
      <c r="B297" s="2">
        <v>46213</v>
      </c>
      <c r="C297" t="s">
        <v>22</v>
      </c>
      <c r="D297" t="s">
        <v>39</v>
      </c>
      <c r="E297" t="s">
        <v>17</v>
      </c>
      <c r="F297" t="s">
        <v>33</v>
      </c>
      <c r="G297">
        <v>6</v>
      </c>
      <c r="H297">
        <v>44860</v>
      </c>
      <c r="I297">
        <v>269160</v>
      </c>
      <c r="J297" s="6" t="str">
        <f t="shared" si="8"/>
        <v>Jul</v>
      </c>
      <c r="K297">
        <f t="shared" si="9"/>
        <v>269160</v>
      </c>
    </row>
    <row r="298" spans="1:11" x14ac:dyDescent="0.35">
      <c r="A298" t="s">
        <v>347</v>
      </c>
      <c r="B298" s="2">
        <v>46168</v>
      </c>
      <c r="C298" t="s">
        <v>15</v>
      </c>
      <c r="D298" t="s">
        <v>50</v>
      </c>
      <c r="E298" t="s">
        <v>51</v>
      </c>
      <c r="F298" t="s">
        <v>13</v>
      </c>
      <c r="G298">
        <v>5</v>
      </c>
      <c r="H298">
        <v>264</v>
      </c>
      <c r="I298">
        <v>1320</v>
      </c>
      <c r="J298" s="6" t="str">
        <f t="shared" si="8"/>
        <v>May</v>
      </c>
      <c r="K298">
        <f t="shared" si="9"/>
        <v>1320</v>
      </c>
    </row>
    <row r="299" spans="1:11" x14ac:dyDescent="0.35">
      <c r="A299" t="s">
        <v>348</v>
      </c>
      <c r="B299" s="2">
        <v>46098</v>
      </c>
      <c r="C299" t="s">
        <v>64</v>
      </c>
      <c r="D299" t="s">
        <v>59</v>
      </c>
      <c r="E299" t="s">
        <v>29</v>
      </c>
      <c r="F299" t="s">
        <v>33</v>
      </c>
      <c r="G299">
        <v>4</v>
      </c>
      <c r="H299">
        <v>1278</v>
      </c>
      <c r="I299">
        <v>5112</v>
      </c>
      <c r="J299" s="6" t="str">
        <f t="shared" si="8"/>
        <v>Mar</v>
      </c>
      <c r="K299">
        <f t="shared" si="9"/>
        <v>5112</v>
      </c>
    </row>
    <row r="300" spans="1:11" x14ac:dyDescent="0.35">
      <c r="A300" t="s">
        <v>349</v>
      </c>
      <c r="B300" s="2">
        <v>46036</v>
      </c>
      <c r="C300" t="s">
        <v>64</v>
      </c>
      <c r="D300" t="s">
        <v>28</v>
      </c>
      <c r="E300" t="s">
        <v>29</v>
      </c>
      <c r="F300" t="s">
        <v>33</v>
      </c>
      <c r="G300">
        <v>4</v>
      </c>
      <c r="H300">
        <v>2654</v>
      </c>
      <c r="I300">
        <v>10616</v>
      </c>
      <c r="J300" s="6" t="str">
        <f t="shared" si="8"/>
        <v>Jan</v>
      </c>
      <c r="K300">
        <f t="shared" si="9"/>
        <v>10616</v>
      </c>
    </row>
    <row r="301" spans="1:11" x14ac:dyDescent="0.35">
      <c r="A301" t="s">
        <v>350</v>
      </c>
      <c r="B301" s="2">
        <v>46220</v>
      </c>
      <c r="C301" t="s">
        <v>15</v>
      </c>
      <c r="D301" t="s">
        <v>20</v>
      </c>
      <c r="E301" t="s">
        <v>17</v>
      </c>
      <c r="F301" t="s">
        <v>36</v>
      </c>
      <c r="G301">
        <v>5</v>
      </c>
      <c r="H301">
        <v>14698</v>
      </c>
      <c r="I301">
        <v>73490</v>
      </c>
      <c r="J301" s="6" t="str">
        <f t="shared" si="8"/>
        <v>Jul</v>
      </c>
      <c r="K301">
        <f t="shared" si="9"/>
        <v>73490</v>
      </c>
    </row>
    <row r="302" spans="1:11" x14ac:dyDescent="0.35">
      <c r="A302" t="s">
        <v>351</v>
      </c>
      <c r="B302" s="2">
        <v>46073</v>
      </c>
      <c r="C302" t="s">
        <v>102</v>
      </c>
      <c r="D302" t="s">
        <v>28</v>
      </c>
      <c r="E302" t="s">
        <v>29</v>
      </c>
      <c r="F302" t="s">
        <v>13</v>
      </c>
      <c r="G302">
        <v>1</v>
      </c>
      <c r="H302">
        <v>2427</v>
      </c>
      <c r="I302">
        <v>2427</v>
      </c>
      <c r="J302" s="6" t="str">
        <f t="shared" si="8"/>
        <v>Feb</v>
      </c>
      <c r="K302">
        <f t="shared" si="9"/>
        <v>2427</v>
      </c>
    </row>
    <row r="303" spans="1:11" x14ac:dyDescent="0.35">
      <c r="A303" t="s">
        <v>352</v>
      </c>
      <c r="B303" s="2">
        <v>46264</v>
      </c>
      <c r="C303" t="s">
        <v>75</v>
      </c>
      <c r="D303" t="s">
        <v>16</v>
      </c>
      <c r="E303" t="s">
        <v>17</v>
      </c>
      <c r="F303" t="s">
        <v>25</v>
      </c>
      <c r="G303">
        <v>1</v>
      </c>
      <c r="H303">
        <v>17386</v>
      </c>
      <c r="I303">
        <v>17386</v>
      </c>
      <c r="J303" s="6" t="str">
        <f t="shared" si="8"/>
        <v>Aug</v>
      </c>
      <c r="K303">
        <f t="shared" si="9"/>
        <v>17386</v>
      </c>
    </row>
    <row r="304" spans="1:11" x14ac:dyDescent="0.35">
      <c r="A304" t="s">
        <v>353</v>
      </c>
      <c r="B304" s="2">
        <v>46063</v>
      </c>
      <c r="C304" t="s">
        <v>80</v>
      </c>
      <c r="D304" t="s">
        <v>91</v>
      </c>
      <c r="E304" t="s">
        <v>17</v>
      </c>
      <c r="F304" t="s">
        <v>36</v>
      </c>
      <c r="G304">
        <v>5</v>
      </c>
      <c r="H304">
        <v>11050</v>
      </c>
      <c r="I304">
        <v>55250</v>
      </c>
      <c r="J304" s="6" t="str">
        <f t="shared" si="8"/>
        <v>Feb</v>
      </c>
      <c r="K304">
        <f t="shared" si="9"/>
        <v>55250</v>
      </c>
    </row>
    <row r="305" spans="1:11" x14ac:dyDescent="0.35">
      <c r="A305" t="s">
        <v>354</v>
      </c>
      <c r="B305" s="2">
        <v>46334</v>
      </c>
      <c r="C305" t="s">
        <v>66</v>
      </c>
      <c r="D305" t="s">
        <v>28</v>
      </c>
      <c r="E305" t="s">
        <v>29</v>
      </c>
      <c r="F305" t="s">
        <v>25</v>
      </c>
      <c r="G305">
        <v>2</v>
      </c>
      <c r="H305">
        <v>2520</v>
      </c>
      <c r="I305">
        <v>5040</v>
      </c>
      <c r="J305" s="6" t="str">
        <f t="shared" si="8"/>
        <v>Nov</v>
      </c>
      <c r="K305">
        <f t="shared" si="9"/>
        <v>5040</v>
      </c>
    </row>
    <row r="306" spans="1:11" x14ac:dyDescent="0.35">
      <c r="A306" t="s">
        <v>355</v>
      </c>
      <c r="B306" s="2">
        <v>46085</v>
      </c>
      <c r="C306" t="s">
        <v>62</v>
      </c>
      <c r="D306" t="s">
        <v>46</v>
      </c>
      <c r="E306" t="s">
        <v>17</v>
      </c>
      <c r="F306" t="s">
        <v>13</v>
      </c>
      <c r="G306">
        <v>3</v>
      </c>
      <c r="H306">
        <v>21076</v>
      </c>
      <c r="I306">
        <v>63228</v>
      </c>
      <c r="J306" s="6" t="str">
        <f t="shared" si="8"/>
        <v>Mar</v>
      </c>
      <c r="K306">
        <f t="shared" si="9"/>
        <v>63228</v>
      </c>
    </row>
    <row r="307" spans="1:11" x14ac:dyDescent="0.35">
      <c r="A307" t="s">
        <v>356</v>
      </c>
      <c r="B307" s="2">
        <v>46257</v>
      </c>
      <c r="C307" t="s">
        <v>15</v>
      </c>
      <c r="D307" t="s">
        <v>20</v>
      </c>
      <c r="E307" t="s">
        <v>17</v>
      </c>
      <c r="F307" t="s">
        <v>33</v>
      </c>
      <c r="G307">
        <v>6</v>
      </c>
      <c r="H307">
        <v>15705</v>
      </c>
      <c r="I307">
        <v>94230</v>
      </c>
      <c r="J307" s="6" t="str">
        <f t="shared" si="8"/>
        <v>Aug</v>
      </c>
      <c r="K307">
        <f t="shared" si="9"/>
        <v>94230</v>
      </c>
    </row>
    <row r="308" spans="1:11" x14ac:dyDescent="0.35">
      <c r="A308" t="s">
        <v>357</v>
      </c>
      <c r="B308" s="2">
        <v>46346</v>
      </c>
      <c r="C308" t="s">
        <v>66</v>
      </c>
      <c r="D308" t="s">
        <v>91</v>
      </c>
      <c r="E308" t="s">
        <v>17</v>
      </c>
      <c r="F308" t="s">
        <v>18</v>
      </c>
      <c r="G308">
        <v>5</v>
      </c>
      <c r="H308">
        <v>12069</v>
      </c>
      <c r="I308">
        <v>60345</v>
      </c>
      <c r="J308" s="6" t="str">
        <f t="shared" si="8"/>
        <v>Nov</v>
      </c>
      <c r="K308">
        <f t="shared" si="9"/>
        <v>60345</v>
      </c>
    </row>
    <row r="309" spans="1:11" x14ac:dyDescent="0.35">
      <c r="A309" t="s">
        <v>358</v>
      </c>
      <c r="B309" s="2">
        <v>46242</v>
      </c>
      <c r="C309" t="s">
        <v>80</v>
      </c>
      <c r="D309" t="s">
        <v>28</v>
      </c>
      <c r="E309" t="s">
        <v>29</v>
      </c>
      <c r="F309" t="s">
        <v>18</v>
      </c>
      <c r="G309">
        <v>6</v>
      </c>
      <c r="H309">
        <v>2357</v>
      </c>
      <c r="I309">
        <v>14142</v>
      </c>
      <c r="J309" s="6" t="str">
        <f t="shared" si="8"/>
        <v>Aug</v>
      </c>
      <c r="K309">
        <f t="shared" si="9"/>
        <v>14142</v>
      </c>
    </row>
    <row r="310" spans="1:11" x14ac:dyDescent="0.35">
      <c r="A310" t="s">
        <v>359</v>
      </c>
      <c r="B310" s="2">
        <v>46118</v>
      </c>
      <c r="C310" t="s">
        <v>15</v>
      </c>
      <c r="D310" t="s">
        <v>32</v>
      </c>
      <c r="E310" t="s">
        <v>29</v>
      </c>
      <c r="F310" t="s">
        <v>18</v>
      </c>
      <c r="G310">
        <v>2</v>
      </c>
      <c r="H310">
        <v>809</v>
      </c>
      <c r="I310">
        <v>1618</v>
      </c>
      <c r="J310" s="6" t="str">
        <f t="shared" si="8"/>
        <v>Apr</v>
      </c>
      <c r="K310">
        <f t="shared" si="9"/>
        <v>1618</v>
      </c>
    </row>
    <row r="311" spans="1:11" x14ac:dyDescent="0.35">
      <c r="A311" t="s">
        <v>360</v>
      </c>
      <c r="B311" s="2">
        <v>46301</v>
      </c>
      <c r="C311" t="s">
        <v>66</v>
      </c>
      <c r="D311" t="s">
        <v>32</v>
      </c>
      <c r="E311" t="s">
        <v>29</v>
      </c>
      <c r="F311" t="s">
        <v>18</v>
      </c>
      <c r="G311">
        <v>1</v>
      </c>
      <c r="H311">
        <v>858</v>
      </c>
      <c r="I311">
        <v>858</v>
      </c>
      <c r="J311" s="6" t="str">
        <f t="shared" si="8"/>
        <v>Oct</v>
      </c>
      <c r="K311">
        <f t="shared" si="9"/>
        <v>858</v>
      </c>
    </row>
    <row r="312" spans="1:11" x14ac:dyDescent="0.35">
      <c r="A312" t="s">
        <v>361</v>
      </c>
      <c r="B312" s="2">
        <v>46263</v>
      </c>
      <c r="C312" t="s">
        <v>62</v>
      </c>
      <c r="D312" t="s">
        <v>42</v>
      </c>
      <c r="E312" t="s">
        <v>24</v>
      </c>
      <c r="F312" t="s">
        <v>25</v>
      </c>
      <c r="G312">
        <v>1</v>
      </c>
      <c r="H312">
        <v>8351</v>
      </c>
      <c r="I312">
        <v>8351</v>
      </c>
      <c r="J312" s="6" t="str">
        <f t="shared" si="8"/>
        <v>Aug</v>
      </c>
      <c r="K312">
        <f t="shared" si="9"/>
        <v>8351</v>
      </c>
    </row>
    <row r="313" spans="1:11" x14ac:dyDescent="0.35">
      <c r="A313" t="s">
        <v>362</v>
      </c>
      <c r="B313" s="2">
        <v>46205</v>
      </c>
      <c r="C313" t="s">
        <v>15</v>
      </c>
      <c r="D313" t="s">
        <v>32</v>
      </c>
      <c r="E313" t="s">
        <v>29</v>
      </c>
      <c r="F313" t="s">
        <v>36</v>
      </c>
      <c r="G313">
        <v>3</v>
      </c>
      <c r="H313">
        <v>832</v>
      </c>
      <c r="I313">
        <v>2496</v>
      </c>
      <c r="J313" s="6" t="str">
        <f t="shared" si="8"/>
        <v>Jul</v>
      </c>
      <c r="K313">
        <f t="shared" si="9"/>
        <v>2496</v>
      </c>
    </row>
    <row r="314" spans="1:11" x14ac:dyDescent="0.35">
      <c r="A314" t="s">
        <v>363</v>
      </c>
      <c r="B314" s="2">
        <v>46076</v>
      </c>
      <c r="C314" t="s">
        <v>55</v>
      </c>
      <c r="D314" t="s">
        <v>28</v>
      </c>
      <c r="E314" t="s">
        <v>29</v>
      </c>
      <c r="F314" t="s">
        <v>36</v>
      </c>
      <c r="G314">
        <v>6</v>
      </c>
      <c r="H314">
        <v>2563</v>
      </c>
      <c r="I314">
        <v>15378</v>
      </c>
      <c r="J314" s="6" t="str">
        <f t="shared" si="8"/>
        <v>Feb</v>
      </c>
      <c r="K314">
        <f t="shared" si="9"/>
        <v>15378</v>
      </c>
    </row>
    <row r="315" spans="1:11" x14ac:dyDescent="0.35">
      <c r="A315" t="s">
        <v>364</v>
      </c>
      <c r="B315" s="2">
        <v>46196</v>
      </c>
      <c r="C315" t="s">
        <v>27</v>
      </c>
      <c r="D315" t="s">
        <v>16</v>
      </c>
      <c r="E315" t="s">
        <v>17</v>
      </c>
      <c r="F315" t="s">
        <v>25</v>
      </c>
      <c r="G315">
        <v>1</v>
      </c>
      <c r="H315">
        <v>17575</v>
      </c>
      <c r="I315">
        <v>17575</v>
      </c>
      <c r="J315" s="6" t="str">
        <f t="shared" si="8"/>
        <v>Jun</v>
      </c>
      <c r="K315">
        <f t="shared" si="9"/>
        <v>17575</v>
      </c>
    </row>
    <row r="316" spans="1:11" x14ac:dyDescent="0.35">
      <c r="A316" t="s">
        <v>365</v>
      </c>
      <c r="B316" s="2">
        <v>46092</v>
      </c>
      <c r="C316" t="s">
        <v>15</v>
      </c>
      <c r="D316" t="s">
        <v>50</v>
      </c>
      <c r="E316" t="s">
        <v>51</v>
      </c>
      <c r="F316" t="s">
        <v>25</v>
      </c>
      <c r="G316">
        <v>4</v>
      </c>
      <c r="H316">
        <v>255</v>
      </c>
      <c r="I316">
        <v>1020</v>
      </c>
      <c r="J316" s="6" t="str">
        <f t="shared" si="8"/>
        <v>Mar</v>
      </c>
      <c r="K316">
        <f t="shared" si="9"/>
        <v>1020</v>
      </c>
    </row>
    <row r="317" spans="1:11" x14ac:dyDescent="0.35">
      <c r="A317" t="s">
        <v>366</v>
      </c>
      <c r="B317" s="2">
        <v>46125</v>
      </c>
      <c r="C317" t="s">
        <v>62</v>
      </c>
      <c r="D317" t="s">
        <v>39</v>
      </c>
      <c r="E317" t="s">
        <v>17</v>
      </c>
      <c r="F317" t="s">
        <v>36</v>
      </c>
      <c r="G317">
        <v>3</v>
      </c>
      <c r="H317">
        <v>42851</v>
      </c>
      <c r="I317">
        <v>128553</v>
      </c>
      <c r="J317" s="6" t="str">
        <f t="shared" si="8"/>
        <v>Apr</v>
      </c>
      <c r="K317">
        <f t="shared" si="9"/>
        <v>128553</v>
      </c>
    </row>
    <row r="318" spans="1:11" x14ac:dyDescent="0.35">
      <c r="A318" t="s">
        <v>367</v>
      </c>
      <c r="B318" s="2">
        <v>46301</v>
      </c>
      <c r="C318" t="s">
        <v>85</v>
      </c>
      <c r="D318" t="s">
        <v>59</v>
      </c>
      <c r="E318" t="s">
        <v>29</v>
      </c>
      <c r="F318" t="s">
        <v>36</v>
      </c>
      <c r="G318">
        <v>5</v>
      </c>
      <c r="H318">
        <v>1180</v>
      </c>
      <c r="I318">
        <v>5900</v>
      </c>
      <c r="J318" s="6" t="str">
        <f t="shared" si="8"/>
        <v>Oct</v>
      </c>
      <c r="K318">
        <f t="shared" si="9"/>
        <v>5900</v>
      </c>
    </row>
    <row r="319" spans="1:11" x14ac:dyDescent="0.35">
      <c r="A319" t="s">
        <v>368</v>
      </c>
      <c r="B319" s="2">
        <v>46205</v>
      </c>
      <c r="C319" t="s">
        <v>62</v>
      </c>
      <c r="D319" t="s">
        <v>39</v>
      </c>
      <c r="E319" t="s">
        <v>17</v>
      </c>
      <c r="F319" t="s">
        <v>36</v>
      </c>
      <c r="G319">
        <v>6</v>
      </c>
      <c r="H319">
        <v>42776</v>
      </c>
      <c r="I319">
        <v>256656</v>
      </c>
      <c r="J319" s="6" t="str">
        <f t="shared" si="8"/>
        <v>Jul</v>
      </c>
      <c r="K319">
        <f t="shared" si="9"/>
        <v>256656</v>
      </c>
    </row>
    <row r="320" spans="1:11" x14ac:dyDescent="0.35">
      <c r="A320" t="s">
        <v>369</v>
      </c>
      <c r="B320" s="2">
        <v>46246</v>
      </c>
      <c r="C320" t="s">
        <v>38</v>
      </c>
      <c r="D320" t="s">
        <v>59</v>
      </c>
      <c r="E320" t="s">
        <v>29</v>
      </c>
      <c r="F320" t="s">
        <v>25</v>
      </c>
      <c r="G320">
        <v>1</v>
      </c>
      <c r="H320">
        <v>1257</v>
      </c>
      <c r="I320">
        <v>1257</v>
      </c>
      <c r="J320" s="6" t="str">
        <f t="shared" si="8"/>
        <v>Aug</v>
      </c>
      <c r="K320">
        <f t="shared" si="9"/>
        <v>1257</v>
      </c>
    </row>
    <row r="321" spans="1:11" x14ac:dyDescent="0.35">
      <c r="A321" t="s">
        <v>370</v>
      </c>
      <c r="B321" s="2">
        <v>46277</v>
      </c>
      <c r="C321" t="s">
        <v>85</v>
      </c>
      <c r="D321" t="s">
        <v>20</v>
      </c>
      <c r="E321" t="s">
        <v>17</v>
      </c>
      <c r="F321" t="s">
        <v>36</v>
      </c>
      <c r="G321">
        <v>3</v>
      </c>
      <c r="H321">
        <v>16137</v>
      </c>
      <c r="I321">
        <v>48411</v>
      </c>
      <c r="J321" s="6" t="str">
        <f t="shared" si="8"/>
        <v>Sep</v>
      </c>
      <c r="K321">
        <f t="shared" si="9"/>
        <v>48411</v>
      </c>
    </row>
    <row r="322" spans="1:11" x14ac:dyDescent="0.35">
      <c r="A322" t="s">
        <v>371</v>
      </c>
      <c r="B322" s="2">
        <v>46240</v>
      </c>
      <c r="C322" t="s">
        <v>15</v>
      </c>
      <c r="D322" t="s">
        <v>42</v>
      </c>
      <c r="E322" t="s">
        <v>24</v>
      </c>
      <c r="F322" t="s">
        <v>25</v>
      </c>
      <c r="G322">
        <v>3</v>
      </c>
      <c r="H322">
        <v>8910</v>
      </c>
      <c r="I322">
        <v>26730</v>
      </c>
      <c r="J322" s="6" t="str">
        <f t="shared" si="8"/>
        <v>Aug</v>
      </c>
      <c r="K322">
        <f t="shared" si="9"/>
        <v>26730</v>
      </c>
    </row>
    <row r="323" spans="1:11" x14ac:dyDescent="0.35">
      <c r="A323" t="s">
        <v>372</v>
      </c>
      <c r="B323" s="2">
        <v>46187</v>
      </c>
      <c r="C323" t="s">
        <v>31</v>
      </c>
      <c r="D323" t="s">
        <v>23</v>
      </c>
      <c r="E323" t="s">
        <v>24</v>
      </c>
      <c r="F323" t="s">
        <v>33</v>
      </c>
      <c r="G323">
        <v>2</v>
      </c>
      <c r="H323">
        <v>7051</v>
      </c>
      <c r="I323">
        <v>14102</v>
      </c>
      <c r="J323" s="6" t="str">
        <f t="shared" ref="J323:J386" si="10">TEXT(B323,"mmm")</f>
        <v>Jun</v>
      </c>
      <c r="K323">
        <f t="shared" ref="K323:K386" si="11">G323*H323</f>
        <v>14102</v>
      </c>
    </row>
    <row r="324" spans="1:11" x14ac:dyDescent="0.35">
      <c r="A324" t="s">
        <v>373</v>
      </c>
      <c r="B324" s="2">
        <v>46251</v>
      </c>
      <c r="C324" t="s">
        <v>35</v>
      </c>
      <c r="D324" t="s">
        <v>32</v>
      </c>
      <c r="E324" t="s">
        <v>29</v>
      </c>
      <c r="F324" t="s">
        <v>25</v>
      </c>
      <c r="G324">
        <v>6</v>
      </c>
      <c r="H324">
        <v>774</v>
      </c>
      <c r="I324">
        <v>4644</v>
      </c>
      <c r="J324" s="6" t="str">
        <f t="shared" si="10"/>
        <v>Aug</v>
      </c>
      <c r="K324">
        <f t="shared" si="11"/>
        <v>4644</v>
      </c>
    </row>
    <row r="325" spans="1:11" x14ac:dyDescent="0.35">
      <c r="A325" t="s">
        <v>374</v>
      </c>
      <c r="B325" s="2">
        <v>46251</v>
      </c>
      <c r="C325" t="s">
        <v>62</v>
      </c>
      <c r="D325" t="s">
        <v>16</v>
      </c>
      <c r="E325" t="s">
        <v>17</v>
      </c>
      <c r="F325" t="s">
        <v>36</v>
      </c>
      <c r="G325">
        <v>6</v>
      </c>
      <c r="H325">
        <v>17838</v>
      </c>
      <c r="I325">
        <v>107028</v>
      </c>
      <c r="J325" s="6" t="str">
        <f t="shared" si="10"/>
        <v>Aug</v>
      </c>
      <c r="K325">
        <f t="shared" si="11"/>
        <v>107028</v>
      </c>
    </row>
    <row r="326" spans="1:11" x14ac:dyDescent="0.35">
      <c r="A326" t="s">
        <v>375</v>
      </c>
      <c r="B326" s="2">
        <v>46052</v>
      </c>
      <c r="C326" t="s">
        <v>15</v>
      </c>
      <c r="D326" t="s">
        <v>23</v>
      </c>
      <c r="E326" t="s">
        <v>24</v>
      </c>
      <c r="F326" t="s">
        <v>25</v>
      </c>
      <c r="G326">
        <v>4</v>
      </c>
      <c r="H326">
        <v>6748</v>
      </c>
      <c r="I326">
        <v>26992</v>
      </c>
      <c r="J326" s="6" t="str">
        <f t="shared" si="10"/>
        <v>Jan</v>
      </c>
      <c r="K326">
        <f t="shared" si="11"/>
        <v>26992</v>
      </c>
    </row>
    <row r="327" spans="1:11" x14ac:dyDescent="0.35">
      <c r="A327" t="s">
        <v>376</v>
      </c>
      <c r="B327" s="2">
        <v>46370</v>
      </c>
      <c r="C327" t="s">
        <v>27</v>
      </c>
      <c r="D327" t="s">
        <v>32</v>
      </c>
      <c r="E327" t="s">
        <v>29</v>
      </c>
      <c r="F327" t="s">
        <v>33</v>
      </c>
      <c r="G327">
        <v>5</v>
      </c>
      <c r="H327">
        <v>839</v>
      </c>
      <c r="I327">
        <v>4195</v>
      </c>
      <c r="J327" s="6" t="str">
        <f t="shared" si="10"/>
        <v>Dec</v>
      </c>
      <c r="K327">
        <f t="shared" si="11"/>
        <v>4195</v>
      </c>
    </row>
    <row r="328" spans="1:11" x14ac:dyDescent="0.35">
      <c r="A328" t="s">
        <v>377</v>
      </c>
      <c r="B328" s="2">
        <v>46247</v>
      </c>
      <c r="C328" t="s">
        <v>62</v>
      </c>
      <c r="D328" t="s">
        <v>16</v>
      </c>
      <c r="E328" t="s">
        <v>17</v>
      </c>
      <c r="F328" t="s">
        <v>13</v>
      </c>
      <c r="G328">
        <v>5</v>
      </c>
      <c r="H328">
        <v>18513</v>
      </c>
      <c r="I328">
        <v>92565</v>
      </c>
      <c r="J328" s="6" t="str">
        <f t="shared" si="10"/>
        <v>Aug</v>
      </c>
      <c r="K328">
        <f t="shared" si="11"/>
        <v>92565</v>
      </c>
    </row>
    <row r="329" spans="1:11" x14ac:dyDescent="0.35">
      <c r="A329" t="s">
        <v>378</v>
      </c>
      <c r="B329" s="2">
        <v>46210</v>
      </c>
      <c r="C329" t="s">
        <v>41</v>
      </c>
      <c r="D329" t="s">
        <v>46</v>
      </c>
      <c r="E329" t="s">
        <v>17</v>
      </c>
      <c r="F329" t="s">
        <v>25</v>
      </c>
      <c r="G329">
        <v>2</v>
      </c>
      <c r="H329">
        <v>22980</v>
      </c>
      <c r="I329">
        <v>45960</v>
      </c>
      <c r="J329" s="6" t="str">
        <f t="shared" si="10"/>
        <v>Jul</v>
      </c>
      <c r="K329">
        <f t="shared" si="11"/>
        <v>45960</v>
      </c>
    </row>
    <row r="330" spans="1:11" x14ac:dyDescent="0.35">
      <c r="A330" t="s">
        <v>379</v>
      </c>
      <c r="B330" s="2">
        <v>46370</v>
      </c>
      <c r="C330" t="s">
        <v>57</v>
      </c>
      <c r="D330" t="s">
        <v>23</v>
      </c>
      <c r="E330" t="s">
        <v>24</v>
      </c>
      <c r="F330" t="s">
        <v>36</v>
      </c>
      <c r="G330">
        <v>1</v>
      </c>
      <c r="H330">
        <v>7118</v>
      </c>
      <c r="I330">
        <v>7118</v>
      </c>
      <c r="J330" s="6" t="str">
        <f t="shared" si="10"/>
        <v>Dec</v>
      </c>
      <c r="K330">
        <f t="shared" si="11"/>
        <v>7118</v>
      </c>
    </row>
    <row r="331" spans="1:11" x14ac:dyDescent="0.35">
      <c r="A331" t="s">
        <v>380</v>
      </c>
      <c r="B331" s="2">
        <v>46316</v>
      </c>
      <c r="C331" t="s">
        <v>75</v>
      </c>
      <c r="D331" t="s">
        <v>32</v>
      </c>
      <c r="E331" t="s">
        <v>29</v>
      </c>
      <c r="F331" t="s">
        <v>18</v>
      </c>
      <c r="G331">
        <v>4</v>
      </c>
      <c r="H331">
        <v>834</v>
      </c>
      <c r="I331">
        <v>3336</v>
      </c>
      <c r="J331" s="6" t="str">
        <f t="shared" si="10"/>
        <v>Oct</v>
      </c>
      <c r="K331">
        <f t="shared" si="11"/>
        <v>3336</v>
      </c>
    </row>
    <row r="332" spans="1:11" x14ac:dyDescent="0.35">
      <c r="A332" t="s">
        <v>381</v>
      </c>
      <c r="B332" s="2">
        <v>46165</v>
      </c>
      <c r="C332" t="s">
        <v>10</v>
      </c>
      <c r="D332" t="s">
        <v>32</v>
      </c>
      <c r="E332" t="s">
        <v>29</v>
      </c>
      <c r="F332" t="s">
        <v>33</v>
      </c>
      <c r="G332">
        <v>4</v>
      </c>
      <c r="H332">
        <v>776</v>
      </c>
      <c r="I332">
        <v>3104</v>
      </c>
      <c r="J332" s="6" t="str">
        <f t="shared" si="10"/>
        <v>May</v>
      </c>
      <c r="K332">
        <f t="shared" si="11"/>
        <v>3104</v>
      </c>
    </row>
    <row r="333" spans="1:11" x14ac:dyDescent="0.35">
      <c r="A333" t="s">
        <v>382</v>
      </c>
      <c r="B333" s="2">
        <v>46288</v>
      </c>
      <c r="C333" t="s">
        <v>38</v>
      </c>
      <c r="D333" t="s">
        <v>39</v>
      </c>
      <c r="E333" t="s">
        <v>17</v>
      </c>
      <c r="F333" t="s">
        <v>18</v>
      </c>
      <c r="G333">
        <v>6</v>
      </c>
      <c r="H333">
        <v>42740</v>
      </c>
      <c r="I333">
        <v>256440</v>
      </c>
      <c r="J333" s="6" t="str">
        <f t="shared" si="10"/>
        <v>Sep</v>
      </c>
      <c r="K333">
        <f t="shared" si="11"/>
        <v>256440</v>
      </c>
    </row>
    <row r="334" spans="1:11" x14ac:dyDescent="0.35">
      <c r="A334" t="s">
        <v>383</v>
      </c>
      <c r="B334" s="2">
        <v>46383</v>
      </c>
      <c r="C334" t="s">
        <v>57</v>
      </c>
      <c r="D334" t="s">
        <v>46</v>
      </c>
      <c r="E334" t="s">
        <v>17</v>
      </c>
      <c r="F334" t="s">
        <v>13</v>
      </c>
      <c r="G334">
        <v>3</v>
      </c>
      <c r="H334">
        <v>22968</v>
      </c>
      <c r="I334">
        <v>68904</v>
      </c>
      <c r="J334" s="6" t="str">
        <f t="shared" si="10"/>
        <v>Dec</v>
      </c>
      <c r="K334">
        <f t="shared" si="11"/>
        <v>68904</v>
      </c>
    </row>
    <row r="335" spans="1:11" x14ac:dyDescent="0.35">
      <c r="A335" t="s">
        <v>384</v>
      </c>
      <c r="B335" s="2">
        <v>46274</v>
      </c>
      <c r="C335" t="s">
        <v>48</v>
      </c>
      <c r="D335" t="s">
        <v>23</v>
      </c>
      <c r="E335" t="s">
        <v>24</v>
      </c>
      <c r="F335" t="s">
        <v>33</v>
      </c>
      <c r="G335">
        <v>3</v>
      </c>
      <c r="H335">
        <v>7217</v>
      </c>
      <c r="I335">
        <v>21651</v>
      </c>
      <c r="J335" s="6" t="str">
        <f t="shared" si="10"/>
        <v>Sep</v>
      </c>
      <c r="K335">
        <f t="shared" si="11"/>
        <v>21651</v>
      </c>
    </row>
    <row r="336" spans="1:11" x14ac:dyDescent="0.35">
      <c r="A336" t="s">
        <v>385</v>
      </c>
      <c r="B336" s="2">
        <v>46250</v>
      </c>
      <c r="C336" t="s">
        <v>15</v>
      </c>
      <c r="D336" t="s">
        <v>16</v>
      </c>
      <c r="E336" t="s">
        <v>17</v>
      </c>
      <c r="F336" t="s">
        <v>36</v>
      </c>
      <c r="G336">
        <v>1</v>
      </c>
      <c r="H336">
        <v>17862</v>
      </c>
      <c r="I336">
        <v>17862</v>
      </c>
      <c r="J336" s="6" t="str">
        <f t="shared" si="10"/>
        <v>Aug</v>
      </c>
      <c r="K336">
        <f t="shared" si="11"/>
        <v>17862</v>
      </c>
    </row>
    <row r="337" spans="1:11" x14ac:dyDescent="0.35">
      <c r="A337" t="s">
        <v>386</v>
      </c>
      <c r="B337" s="2">
        <v>46304</v>
      </c>
      <c r="C337" t="s">
        <v>22</v>
      </c>
      <c r="D337" t="s">
        <v>11</v>
      </c>
      <c r="E337" t="s">
        <v>12</v>
      </c>
      <c r="F337" t="s">
        <v>36</v>
      </c>
      <c r="G337">
        <v>3</v>
      </c>
      <c r="H337">
        <v>1860</v>
      </c>
      <c r="I337">
        <v>5580</v>
      </c>
      <c r="J337" s="6" t="str">
        <f t="shared" si="10"/>
        <v>Oct</v>
      </c>
      <c r="K337">
        <f t="shared" si="11"/>
        <v>5580</v>
      </c>
    </row>
    <row r="338" spans="1:11" x14ac:dyDescent="0.35">
      <c r="A338" t="s">
        <v>387</v>
      </c>
      <c r="B338" s="2">
        <v>46381</v>
      </c>
      <c r="C338" t="s">
        <v>27</v>
      </c>
      <c r="D338" t="s">
        <v>59</v>
      </c>
      <c r="E338" t="s">
        <v>29</v>
      </c>
      <c r="F338" t="s">
        <v>36</v>
      </c>
      <c r="G338">
        <v>2</v>
      </c>
      <c r="H338">
        <v>1241</v>
      </c>
      <c r="I338">
        <v>2482</v>
      </c>
      <c r="J338" s="6" t="str">
        <f t="shared" si="10"/>
        <v>Dec</v>
      </c>
      <c r="K338">
        <f t="shared" si="11"/>
        <v>2482</v>
      </c>
    </row>
    <row r="339" spans="1:11" x14ac:dyDescent="0.35">
      <c r="A339" t="s">
        <v>388</v>
      </c>
      <c r="B339" s="2">
        <v>46125</v>
      </c>
      <c r="C339" t="s">
        <v>75</v>
      </c>
      <c r="D339" t="s">
        <v>42</v>
      </c>
      <c r="E339" t="s">
        <v>24</v>
      </c>
      <c r="F339" t="s">
        <v>13</v>
      </c>
      <c r="G339">
        <v>2</v>
      </c>
      <c r="H339">
        <v>7985</v>
      </c>
      <c r="I339">
        <v>15970</v>
      </c>
      <c r="J339" s="6" t="str">
        <f t="shared" si="10"/>
        <v>Apr</v>
      </c>
      <c r="K339">
        <f t="shared" si="11"/>
        <v>15970</v>
      </c>
    </row>
    <row r="340" spans="1:11" x14ac:dyDescent="0.35">
      <c r="A340" t="s">
        <v>389</v>
      </c>
      <c r="B340" s="2">
        <v>46316</v>
      </c>
      <c r="C340" t="s">
        <v>41</v>
      </c>
      <c r="D340" t="s">
        <v>91</v>
      </c>
      <c r="E340" t="s">
        <v>17</v>
      </c>
      <c r="F340" t="s">
        <v>25</v>
      </c>
      <c r="G340">
        <v>1</v>
      </c>
      <c r="H340">
        <v>11733</v>
      </c>
      <c r="I340">
        <v>11733</v>
      </c>
      <c r="J340" s="6" t="str">
        <f t="shared" si="10"/>
        <v>Oct</v>
      </c>
      <c r="K340">
        <f t="shared" si="11"/>
        <v>11733</v>
      </c>
    </row>
    <row r="341" spans="1:11" x14ac:dyDescent="0.35">
      <c r="A341" t="s">
        <v>390</v>
      </c>
      <c r="B341" s="2">
        <v>46067</v>
      </c>
      <c r="C341" t="s">
        <v>15</v>
      </c>
      <c r="D341" t="s">
        <v>42</v>
      </c>
      <c r="E341" t="s">
        <v>24</v>
      </c>
      <c r="F341" t="s">
        <v>36</v>
      </c>
      <c r="G341">
        <v>2</v>
      </c>
      <c r="H341">
        <v>8652</v>
      </c>
      <c r="I341">
        <v>17304</v>
      </c>
      <c r="J341" s="6" t="str">
        <f t="shared" si="10"/>
        <v>Feb</v>
      </c>
      <c r="K341">
        <f t="shared" si="11"/>
        <v>17304</v>
      </c>
    </row>
    <row r="342" spans="1:11" x14ac:dyDescent="0.35">
      <c r="A342" t="s">
        <v>391</v>
      </c>
      <c r="B342" s="2">
        <v>46292</v>
      </c>
      <c r="C342" t="s">
        <v>64</v>
      </c>
      <c r="D342" t="s">
        <v>20</v>
      </c>
      <c r="E342" t="s">
        <v>17</v>
      </c>
      <c r="F342" t="s">
        <v>25</v>
      </c>
      <c r="G342">
        <v>6</v>
      </c>
      <c r="H342">
        <v>15525</v>
      </c>
      <c r="I342">
        <v>93150</v>
      </c>
      <c r="J342" s="6" t="str">
        <f t="shared" si="10"/>
        <v>Sep</v>
      </c>
      <c r="K342">
        <f t="shared" si="11"/>
        <v>93150</v>
      </c>
    </row>
    <row r="343" spans="1:11" x14ac:dyDescent="0.35">
      <c r="A343" t="s">
        <v>392</v>
      </c>
      <c r="B343" s="2">
        <v>46185</v>
      </c>
      <c r="C343" t="s">
        <v>15</v>
      </c>
      <c r="D343" t="s">
        <v>23</v>
      </c>
      <c r="E343" t="s">
        <v>24</v>
      </c>
      <c r="F343" t="s">
        <v>25</v>
      </c>
      <c r="G343">
        <v>1</v>
      </c>
      <c r="H343">
        <v>6580</v>
      </c>
      <c r="I343">
        <v>6580</v>
      </c>
      <c r="J343" s="6" t="str">
        <f t="shared" si="10"/>
        <v>Jun</v>
      </c>
      <c r="K343">
        <f t="shared" si="11"/>
        <v>6580</v>
      </c>
    </row>
    <row r="344" spans="1:11" x14ac:dyDescent="0.35">
      <c r="A344" t="s">
        <v>393</v>
      </c>
      <c r="B344" s="2">
        <v>46088</v>
      </c>
      <c r="C344" t="s">
        <v>22</v>
      </c>
      <c r="D344" t="s">
        <v>91</v>
      </c>
      <c r="E344" t="s">
        <v>17</v>
      </c>
      <c r="F344" t="s">
        <v>18</v>
      </c>
      <c r="G344">
        <v>6</v>
      </c>
      <c r="H344">
        <v>12033</v>
      </c>
      <c r="I344">
        <v>72198</v>
      </c>
      <c r="J344" s="6" t="str">
        <f t="shared" si="10"/>
        <v>Mar</v>
      </c>
      <c r="K344">
        <f t="shared" si="11"/>
        <v>72198</v>
      </c>
    </row>
    <row r="345" spans="1:11" x14ac:dyDescent="0.35">
      <c r="A345" t="s">
        <v>394</v>
      </c>
      <c r="B345" s="2">
        <v>46051</v>
      </c>
      <c r="C345" t="s">
        <v>31</v>
      </c>
      <c r="D345" t="s">
        <v>16</v>
      </c>
      <c r="E345" t="s">
        <v>17</v>
      </c>
      <c r="F345" t="s">
        <v>18</v>
      </c>
      <c r="G345">
        <v>2</v>
      </c>
      <c r="H345">
        <v>17806</v>
      </c>
      <c r="I345">
        <v>35612</v>
      </c>
      <c r="J345" s="6" t="str">
        <f t="shared" si="10"/>
        <v>Jan</v>
      </c>
      <c r="K345">
        <f t="shared" si="11"/>
        <v>35612</v>
      </c>
    </row>
    <row r="346" spans="1:11" x14ac:dyDescent="0.35">
      <c r="A346" t="s">
        <v>395</v>
      </c>
      <c r="B346" s="2">
        <v>46188</v>
      </c>
      <c r="C346" t="s">
        <v>10</v>
      </c>
      <c r="D346" t="s">
        <v>16</v>
      </c>
      <c r="E346" t="s">
        <v>17</v>
      </c>
      <c r="F346" t="s">
        <v>36</v>
      </c>
      <c r="G346">
        <v>3</v>
      </c>
      <c r="H346">
        <v>17034</v>
      </c>
      <c r="I346">
        <v>51102</v>
      </c>
      <c r="J346" s="6" t="str">
        <f t="shared" si="10"/>
        <v>Jun</v>
      </c>
      <c r="K346">
        <f t="shared" si="11"/>
        <v>51102</v>
      </c>
    </row>
    <row r="347" spans="1:11" x14ac:dyDescent="0.35">
      <c r="A347" t="s">
        <v>396</v>
      </c>
      <c r="B347" s="2">
        <v>46151</v>
      </c>
      <c r="C347" t="s">
        <v>48</v>
      </c>
      <c r="D347" t="s">
        <v>42</v>
      </c>
      <c r="E347" t="s">
        <v>24</v>
      </c>
      <c r="F347" t="s">
        <v>18</v>
      </c>
      <c r="G347">
        <v>3</v>
      </c>
      <c r="H347">
        <v>8970</v>
      </c>
      <c r="I347">
        <v>26910</v>
      </c>
      <c r="J347" s="6" t="str">
        <f t="shared" si="10"/>
        <v>May</v>
      </c>
      <c r="K347">
        <f t="shared" si="11"/>
        <v>26910</v>
      </c>
    </row>
    <row r="348" spans="1:11" x14ac:dyDescent="0.35">
      <c r="A348" t="s">
        <v>397</v>
      </c>
      <c r="B348" s="2">
        <v>46337</v>
      </c>
      <c r="C348" t="s">
        <v>22</v>
      </c>
      <c r="D348" t="s">
        <v>59</v>
      </c>
      <c r="E348" t="s">
        <v>29</v>
      </c>
      <c r="F348" t="s">
        <v>33</v>
      </c>
      <c r="G348">
        <v>2</v>
      </c>
      <c r="H348">
        <v>1224</v>
      </c>
      <c r="I348">
        <v>2448</v>
      </c>
      <c r="J348" s="6" t="str">
        <f t="shared" si="10"/>
        <v>Nov</v>
      </c>
      <c r="K348">
        <f t="shared" si="11"/>
        <v>2448</v>
      </c>
    </row>
    <row r="349" spans="1:11" x14ac:dyDescent="0.35">
      <c r="A349" t="s">
        <v>398</v>
      </c>
      <c r="B349" s="2">
        <v>46320</v>
      </c>
      <c r="C349" t="s">
        <v>75</v>
      </c>
      <c r="D349" t="s">
        <v>42</v>
      </c>
      <c r="E349" t="s">
        <v>24</v>
      </c>
      <c r="F349" t="s">
        <v>13</v>
      </c>
      <c r="G349">
        <v>6</v>
      </c>
      <c r="H349">
        <v>8049</v>
      </c>
      <c r="I349">
        <v>48294</v>
      </c>
      <c r="J349" s="6" t="str">
        <f t="shared" si="10"/>
        <v>Oct</v>
      </c>
      <c r="K349">
        <f t="shared" si="11"/>
        <v>48294</v>
      </c>
    </row>
    <row r="350" spans="1:11" x14ac:dyDescent="0.35">
      <c r="A350" t="s">
        <v>399</v>
      </c>
      <c r="B350" s="2">
        <v>46332</v>
      </c>
      <c r="C350" t="s">
        <v>102</v>
      </c>
      <c r="D350" t="s">
        <v>11</v>
      </c>
      <c r="E350" t="s">
        <v>12</v>
      </c>
      <c r="F350" t="s">
        <v>18</v>
      </c>
      <c r="G350">
        <v>5</v>
      </c>
      <c r="H350">
        <v>1864</v>
      </c>
      <c r="I350">
        <v>9320</v>
      </c>
      <c r="J350" s="6" t="str">
        <f t="shared" si="10"/>
        <v>Nov</v>
      </c>
      <c r="K350">
        <f t="shared" si="11"/>
        <v>9320</v>
      </c>
    </row>
    <row r="351" spans="1:11" x14ac:dyDescent="0.35">
      <c r="A351" t="s">
        <v>400</v>
      </c>
      <c r="B351" s="2">
        <v>46351</v>
      </c>
      <c r="C351" t="s">
        <v>55</v>
      </c>
      <c r="D351" t="s">
        <v>39</v>
      </c>
      <c r="E351" t="s">
        <v>17</v>
      </c>
      <c r="F351" t="s">
        <v>36</v>
      </c>
      <c r="G351">
        <v>1</v>
      </c>
      <c r="H351">
        <v>41985</v>
      </c>
      <c r="I351">
        <v>41985</v>
      </c>
      <c r="J351" s="6" t="str">
        <f t="shared" si="10"/>
        <v>Nov</v>
      </c>
      <c r="K351">
        <f t="shared" si="11"/>
        <v>41985</v>
      </c>
    </row>
    <row r="352" spans="1:11" x14ac:dyDescent="0.35">
      <c r="A352" t="s">
        <v>401</v>
      </c>
      <c r="B352" s="2">
        <v>46236</v>
      </c>
      <c r="C352" t="s">
        <v>35</v>
      </c>
      <c r="D352" t="s">
        <v>11</v>
      </c>
      <c r="E352" t="s">
        <v>12</v>
      </c>
      <c r="F352" t="s">
        <v>33</v>
      </c>
      <c r="G352">
        <v>2</v>
      </c>
      <c r="H352">
        <v>1877</v>
      </c>
      <c r="I352">
        <v>3754</v>
      </c>
      <c r="J352" s="6" t="str">
        <f t="shared" si="10"/>
        <v>Aug</v>
      </c>
      <c r="K352">
        <f t="shared" si="11"/>
        <v>3754</v>
      </c>
    </row>
    <row r="353" spans="1:11" x14ac:dyDescent="0.35">
      <c r="A353" t="s">
        <v>402</v>
      </c>
      <c r="B353" s="2">
        <v>46351</v>
      </c>
      <c r="C353" t="s">
        <v>111</v>
      </c>
      <c r="D353" t="s">
        <v>91</v>
      </c>
      <c r="E353" t="s">
        <v>17</v>
      </c>
      <c r="F353" t="s">
        <v>25</v>
      </c>
      <c r="G353">
        <v>6</v>
      </c>
      <c r="H353">
        <v>12088</v>
      </c>
      <c r="I353">
        <v>72528</v>
      </c>
      <c r="J353" s="6" t="str">
        <f t="shared" si="10"/>
        <v>Nov</v>
      </c>
      <c r="K353">
        <f t="shared" si="11"/>
        <v>72528</v>
      </c>
    </row>
    <row r="354" spans="1:11" x14ac:dyDescent="0.35">
      <c r="A354" t="s">
        <v>403</v>
      </c>
      <c r="B354" s="2">
        <v>46255</v>
      </c>
      <c r="C354" t="s">
        <v>15</v>
      </c>
      <c r="D354" t="s">
        <v>28</v>
      </c>
      <c r="E354" t="s">
        <v>29</v>
      </c>
      <c r="F354" t="s">
        <v>33</v>
      </c>
      <c r="G354">
        <v>6</v>
      </c>
      <c r="H354">
        <v>2462</v>
      </c>
      <c r="I354">
        <v>14772</v>
      </c>
      <c r="J354" s="6" t="str">
        <f t="shared" si="10"/>
        <v>Aug</v>
      </c>
      <c r="K354">
        <f t="shared" si="11"/>
        <v>14772</v>
      </c>
    </row>
    <row r="355" spans="1:11" x14ac:dyDescent="0.35">
      <c r="A355" t="s">
        <v>404</v>
      </c>
      <c r="B355" s="2">
        <v>46260</v>
      </c>
      <c r="C355" t="s">
        <v>48</v>
      </c>
      <c r="D355" t="s">
        <v>16</v>
      </c>
      <c r="E355" t="s">
        <v>17</v>
      </c>
      <c r="F355" t="s">
        <v>36</v>
      </c>
      <c r="G355">
        <v>4</v>
      </c>
      <c r="H355">
        <v>17757</v>
      </c>
      <c r="I355">
        <v>71028</v>
      </c>
      <c r="J355" s="6" t="str">
        <f t="shared" si="10"/>
        <v>Aug</v>
      </c>
      <c r="K355">
        <f t="shared" si="11"/>
        <v>71028</v>
      </c>
    </row>
    <row r="356" spans="1:11" x14ac:dyDescent="0.35">
      <c r="A356" t="s">
        <v>405</v>
      </c>
      <c r="B356" s="2">
        <v>46186</v>
      </c>
      <c r="C356" t="s">
        <v>41</v>
      </c>
      <c r="D356" t="s">
        <v>23</v>
      </c>
      <c r="E356" t="s">
        <v>24</v>
      </c>
      <c r="F356" t="s">
        <v>25</v>
      </c>
      <c r="G356">
        <v>2</v>
      </c>
      <c r="H356">
        <v>6790</v>
      </c>
      <c r="I356">
        <v>13580</v>
      </c>
      <c r="J356" s="6" t="str">
        <f t="shared" si="10"/>
        <v>Jun</v>
      </c>
      <c r="K356">
        <f t="shared" si="11"/>
        <v>13580</v>
      </c>
    </row>
    <row r="357" spans="1:11" x14ac:dyDescent="0.35">
      <c r="A357" t="s">
        <v>406</v>
      </c>
      <c r="B357" s="2">
        <v>46077</v>
      </c>
      <c r="C357" t="s">
        <v>102</v>
      </c>
      <c r="D357" t="s">
        <v>16</v>
      </c>
      <c r="E357" t="s">
        <v>17</v>
      </c>
      <c r="F357" t="s">
        <v>13</v>
      </c>
      <c r="G357">
        <v>3</v>
      </c>
      <c r="H357">
        <v>18043</v>
      </c>
      <c r="I357">
        <v>54129</v>
      </c>
      <c r="J357" s="6" t="str">
        <f t="shared" si="10"/>
        <v>Feb</v>
      </c>
      <c r="K357">
        <f t="shared" si="11"/>
        <v>54129</v>
      </c>
    </row>
    <row r="358" spans="1:11" x14ac:dyDescent="0.35">
      <c r="A358" t="s">
        <v>407</v>
      </c>
      <c r="B358" s="2">
        <v>46149</v>
      </c>
      <c r="C358" t="s">
        <v>75</v>
      </c>
      <c r="D358" t="s">
        <v>91</v>
      </c>
      <c r="E358" t="s">
        <v>17</v>
      </c>
      <c r="F358" t="s">
        <v>33</v>
      </c>
      <c r="G358">
        <v>1</v>
      </c>
      <c r="H358">
        <v>11554</v>
      </c>
      <c r="I358">
        <v>11554</v>
      </c>
      <c r="J358" s="6" t="str">
        <f t="shared" si="10"/>
        <v>May</v>
      </c>
      <c r="K358">
        <f t="shared" si="11"/>
        <v>11554</v>
      </c>
    </row>
    <row r="359" spans="1:11" x14ac:dyDescent="0.35">
      <c r="A359" t="s">
        <v>408</v>
      </c>
      <c r="B359" s="2">
        <v>46338</v>
      </c>
      <c r="C359" t="s">
        <v>64</v>
      </c>
      <c r="D359" t="s">
        <v>39</v>
      </c>
      <c r="E359" t="s">
        <v>17</v>
      </c>
      <c r="F359" t="s">
        <v>13</v>
      </c>
      <c r="G359">
        <v>3</v>
      </c>
      <c r="H359">
        <v>48207</v>
      </c>
      <c r="I359">
        <v>144621</v>
      </c>
      <c r="J359" s="6" t="str">
        <f t="shared" si="10"/>
        <v>Nov</v>
      </c>
      <c r="K359">
        <f t="shared" si="11"/>
        <v>144621</v>
      </c>
    </row>
    <row r="360" spans="1:11" x14ac:dyDescent="0.35">
      <c r="A360" t="s">
        <v>409</v>
      </c>
      <c r="B360" s="2">
        <v>46183</v>
      </c>
      <c r="C360" t="s">
        <v>48</v>
      </c>
      <c r="D360" t="s">
        <v>16</v>
      </c>
      <c r="E360" t="s">
        <v>17</v>
      </c>
      <c r="F360" t="s">
        <v>13</v>
      </c>
      <c r="G360">
        <v>3</v>
      </c>
      <c r="H360">
        <v>19249</v>
      </c>
      <c r="I360">
        <v>57747</v>
      </c>
      <c r="J360" s="6" t="str">
        <f t="shared" si="10"/>
        <v>Jun</v>
      </c>
      <c r="K360">
        <f t="shared" si="11"/>
        <v>57747</v>
      </c>
    </row>
    <row r="361" spans="1:11" x14ac:dyDescent="0.35">
      <c r="A361" t="s">
        <v>410</v>
      </c>
      <c r="B361" s="2">
        <v>46180</v>
      </c>
      <c r="C361" t="s">
        <v>85</v>
      </c>
      <c r="D361" t="s">
        <v>91</v>
      </c>
      <c r="E361" t="s">
        <v>17</v>
      </c>
      <c r="F361" t="s">
        <v>33</v>
      </c>
      <c r="G361">
        <v>5</v>
      </c>
      <c r="H361">
        <v>11936</v>
      </c>
      <c r="I361">
        <v>59680</v>
      </c>
      <c r="J361" s="6" t="str">
        <f t="shared" si="10"/>
        <v>Jun</v>
      </c>
      <c r="K361">
        <f t="shared" si="11"/>
        <v>59680</v>
      </c>
    </row>
    <row r="362" spans="1:11" x14ac:dyDescent="0.35">
      <c r="A362" t="s">
        <v>411</v>
      </c>
      <c r="B362" s="2">
        <v>46146</v>
      </c>
      <c r="C362" t="s">
        <v>48</v>
      </c>
      <c r="D362" t="s">
        <v>46</v>
      </c>
      <c r="E362" t="s">
        <v>17</v>
      </c>
      <c r="F362" t="s">
        <v>18</v>
      </c>
      <c r="G362">
        <v>4</v>
      </c>
      <c r="H362">
        <v>22019</v>
      </c>
      <c r="I362">
        <v>88076</v>
      </c>
      <c r="J362" s="6" t="str">
        <f t="shared" si="10"/>
        <v>May</v>
      </c>
      <c r="K362">
        <f t="shared" si="11"/>
        <v>88076</v>
      </c>
    </row>
    <row r="363" spans="1:11" x14ac:dyDescent="0.35">
      <c r="A363" t="s">
        <v>412</v>
      </c>
      <c r="B363" s="2">
        <v>46276</v>
      </c>
      <c r="C363" t="s">
        <v>35</v>
      </c>
      <c r="D363" t="s">
        <v>32</v>
      </c>
      <c r="E363" t="s">
        <v>29</v>
      </c>
      <c r="F363" t="s">
        <v>25</v>
      </c>
      <c r="G363">
        <v>1</v>
      </c>
      <c r="H363">
        <v>742</v>
      </c>
      <c r="I363">
        <v>742</v>
      </c>
      <c r="J363" s="6" t="str">
        <f t="shared" si="10"/>
        <v>Sep</v>
      </c>
      <c r="K363">
        <f t="shared" si="11"/>
        <v>742</v>
      </c>
    </row>
    <row r="364" spans="1:11" x14ac:dyDescent="0.35">
      <c r="A364" t="s">
        <v>413</v>
      </c>
      <c r="B364" s="2">
        <v>46078</v>
      </c>
      <c r="C364" t="s">
        <v>64</v>
      </c>
      <c r="D364" t="s">
        <v>59</v>
      </c>
      <c r="E364" t="s">
        <v>29</v>
      </c>
      <c r="F364" t="s">
        <v>13</v>
      </c>
      <c r="G364">
        <v>5</v>
      </c>
      <c r="H364">
        <v>1106</v>
      </c>
      <c r="I364">
        <v>5530</v>
      </c>
      <c r="J364" s="6" t="str">
        <f t="shared" si="10"/>
        <v>Feb</v>
      </c>
      <c r="K364">
        <f t="shared" si="11"/>
        <v>5530</v>
      </c>
    </row>
    <row r="365" spans="1:11" x14ac:dyDescent="0.35">
      <c r="A365" t="s">
        <v>414</v>
      </c>
      <c r="B365" s="2">
        <v>46229</v>
      </c>
      <c r="C365" t="s">
        <v>41</v>
      </c>
      <c r="D365" t="s">
        <v>59</v>
      </c>
      <c r="E365" t="s">
        <v>29</v>
      </c>
      <c r="F365" t="s">
        <v>33</v>
      </c>
      <c r="G365">
        <v>6</v>
      </c>
      <c r="H365">
        <v>1174</v>
      </c>
      <c r="I365">
        <v>7044</v>
      </c>
      <c r="J365" s="6" t="str">
        <f t="shared" si="10"/>
        <v>Jul</v>
      </c>
      <c r="K365">
        <f t="shared" si="11"/>
        <v>7044</v>
      </c>
    </row>
    <row r="366" spans="1:11" x14ac:dyDescent="0.35">
      <c r="A366" t="s">
        <v>415</v>
      </c>
      <c r="B366" s="2">
        <v>46122</v>
      </c>
      <c r="C366" t="s">
        <v>41</v>
      </c>
      <c r="D366" t="s">
        <v>20</v>
      </c>
      <c r="E366" t="s">
        <v>17</v>
      </c>
      <c r="F366" t="s">
        <v>18</v>
      </c>
      <c r="G366">
        <v>1</v>
      </c>
      <c r="H366">
        <v>15169</v>
      </c>
      <c r="I366">
        <v>15169</v>
      </c>
      <c r="J366" s="6" t="str">
        <f t="shared" si="10"/>
        <v>Apr</v>
      </c>
      <c r="K366">
        <f t="shared" si="11"/>
        <v>15169</v>
      </c>
    </row>
    <row r="367" spans="1:11" x14ac:dyDescent="0.35">
      <c r="A367" t="s">
        <v>416</v>
      </c>
      <c r="B367" s="2">
        <v>46253</v>
      </c>
      <c r="C367" t="s">
        <v>22</v>
      </c>
      <c r="D367" t="s">
        <v>59</v>
      </c>
      <c r="E367" t="s">
        <v>29</v>
      </c>
      <c r="F367" t="s">
        <v>36</v>
      </c>
      <c r="G367">
        <v>1</v>
      </c>
      <c r="H367">
        <v>1178</v>
      </c>
      <c r="I367">
        <v>1178</v>
      </c>
      <c r="J367" s="6" t="str">
        <f t="shared" si="10"/>
        <v>Aug</v>
      </c>
      <c r="K367">
        <f t="shared" si="11"/>
        <v>1178</v>
      </c>
    </row>
    <row r="368" spans="1:11" x14ac:dyDescent="0.35">
      <c r="A368" t="s">
        <v>417</v>
      </c>
      <c r="B368" s="2">
        <v>46088</v>
      </c>
      <c r="C368" t="s">
        <v>31</v>
      </c>
      <c r="D368" t="s">
        <v>23</v>
      </c>
      <c r="E368" t="s">
        <v>24</v>
      </c>
      <c r="F368" t="s">
        <v>25</v>
      </c>
      <c r="G368">
        <v>6</v>
      </c>
      <c r="H368">
        <v>7124</v>
      </c>
      <c r="I368">
        <v>42744</v>
      </c>
      <c r="J368" s="6" t="str">
        <f t="shared" si="10"/>
        <v>Mar</v>
      </c>
      <c r="K368">
        <f t="shared" si="11"/>
        <v>42744</v>
      </c>
    </row>
    <row r="369" spans="1:11" x14ac:dyDescent="0.35">
      <c r="A369" t="s">
        <v>418</v>
      </c>
      <c r="B369" s="2">
        <v>46210</v>
      </c>
      <c r="C369" t="s">
        <v>75</v>
      </c>
      <c r="D369" t="s">
        <v>32</v>
      </c>
      <c r="E369" t="s">
        <v>29</v>
      </c>
      <c r="F369" t="s">
        <v>13</v>
      </c>
      <c r="G369">
        <v>3</v>
      </c>
      <c r="H369">
        <v>807</v>
      </c>
      <c r="I369">
        <v>2421</v>
      </c>
      <c r="J369" s="6" t="str">
        <f t="shared" si="10"/>
        <v>Jul</v>
      </c>
      <c r="K369">
        <f t="shared" si="11"/>
        <v>2421</v>
      </c>
    </row>
    <row r="370" spans="1:11" x14ac:dyDescent="0.35">
      <c r="A370" t="s">
        <v>419</v>
      </c>
      <c r="B370" s="2">
        <v>46043</v>
      </c>
      <c r="C370" t="s">
        <v>62</v>
      </c>
      <c r="D370" t="s">
        <v>23</v>
      </c>
      <c r="E370" t="s">
        <v>24</v>
      </c>
      <c r="F370" t="s">
        <v>33</v>
      </c>
      <c r="G370">
        <v>5</v>
      </c>
      <c r="H370">
        <v>6890</v>
      </c>
      <c r="I370">
        <v>34450</v>
      </c>
      <c r="J370" s="6" t="str">
        <f t="shared" si="10"/>
        <v>Jan</v>
      </c>
      <c r="K370">
        <f t="shared" si="11"/>
        <v>34450</v>
      </c>
    </row>
    <row r="371" spans="1:11" x14ac:dyDescent="0.35">
      <c r="A371" t="s">
        <v>420</v>
      </c>
      <c r="B371" s="2">
        <v>46265</v>
      </c>
      <c r="C371" t="s">
        <v>66</v>
      </c>
      <c r="D371" t="s">
        <v>16</v>
      </c>
      <c r="E371" t="s">
        <v>17</v>
      </c>
      <c r="F371" t="s">
        <v>25</v>
      </c>
      <c r="G371">
        <v>6</v>
      </c>
      <c r="H371">
        <v>17519</v>
      </c>
      <c r="I371">
        <v>105114</v>
      </c>
      <c r="J371" s="6" t="str">
        <f t="shared" si="10"/>
        <v>Aug</v>
      </c>
      <c r="K371">
        <f t="shared" si="11"/>
        <v>105114</v>
      </c>
    </row>
    <row r="372" spans="1:11" x14ac:dyDescent="0.35">
      <c r="A372" t="s">
        <v>421</v>
      </c>
      <c r="B372" s="2">
        <v>46094</v>
      </c>
      <c r="C372" t="s">
        <v>102</v>
      </c>
      <c r="D372" t="s">
        <v>16</v>
      </c>
      <c r="E372" t="s">
        <v>17</v>
      </c>
      <c r="F372" t="s">
        <v>18</v>
      </c>
      <c r="G372">
        <v>5</v>
      </c>
      <c r="H372">
        <v>19132</v>
      </c>
      <c r="I372">
        <v>95660</v>
      </c>
      <c r="J372" s="6" t="str">
        <f t="shared" si="10"/>
        <v>Mar</v>
      </c>
      <c r="K372">
        <f t="shared" si="11"/>
        <v>95660</v>
      </c>
    </row>
    <row r="373" spans="1:11" x14ac:dyDescent="0.35">
      <c r="A373" t="s">
        <v>422</v>
      </c>
      <c r="B373" s="2">
        <v>46338</v>
      </c>
      <c r="C373" t="s">
        <v>111</v>
      </c>
      <c r="D373" t="s">
        <v>32</v>
      </c>
      <c r="E373" t="s">
        <v>29</v>
      </c>
      <c r="F373" t="s">
        <v>18</v>
      </c>
      <c r="G373">
        <v>2</v>
      </c>
      <c r="H373">
        <v>786</v>
      </c>
      <c r="I373">
        <v>1572</v>
      </c>
      <c r="J373" s="6" t="str">
        <f t="shared" si="10"/>
        <v>Nov</v>
      </c>
      <c r="K373">
        <f t="shared" si="11"/>
        <v>1572</v>
      </c>
    </row>
    <row r="374" spans="1:11" x14ac:dyDescent="0.35">
      <c r="A374" t="s">
        <v>423</v>
      </c>
      <c r="B374" s="2">
        <v>46295</v>
      </c>
      <c r="C374" t="s">
        <v>85</v>
      </c>
      <c r="D374" t="s">
        <v>32</v>
      </c>
      <c r="E374" t="s">
        <v>29</v>
      </c>
      <c r="F374" t="s">
        <v>18</v>
      </c>
      <c r="G374">
        <v>5</v>
      </c>
      <c r="H374">
        <v>842</v>
      </c>
      <c r="I374">
        <v>4210</v>
      </c>
      <c r="J374" s="6" t="str">
        <f t="shared" si="10"/>
        <v>Sep</v>
      </c>
      <c r="K374">
        <f t="shared" si="11"/>
        <v>4210</v>
      </c>
    </row>
    <row r="375" spans="1:11" x14ac:dyDescent="0.35">
      <c r="A375" t="s">
        <v>424</v>
      </c>
      <c r="B375" s="2">
        <v>46211</v>
      </c>
      <c r="C375" t="s">
        <v>102</v>
      </c>
      <c r="D375" t="s">
        <v>59</v>
      </c>
      <c r="E375" t="s">
        <v>29</v>
      </c>
      <c r="F375" t="s">
        <v>33</v>
      </c>
      <c r="G375">
        <v>4</v>
      </c>
      <c r="H375">
        <v>1261</v>
      </c>
      <c r="I375">
        <v>5044</v>
      </c>
      <c r="J375" s="6" t="str">
        <f t="shared" si="10"/>
        <v>Jul</v>
      </c>
      <c r="K375">
        <f t="shared" si="11"/>
        <v>5044</v>
      </c>
    </row>
    <row r="376" spans="1:11" x14ac:dyDescent="0.35">
      <c r="A376" t="s">
        <v>425</v>
      </c>
      <c r="B376" s="2">
        <v>46375</v>
      </c>
      <c r="C376" t="s">
        <v>80</v>
      </c>
      <c r="D376" t="s">
        <v>20</v>
      </c>
      <c r="E376" t="s">
        <v>17</v>
      </c>
      <c r="F376" t="s">
        <v>18</v>
      </c>
      <c r="G376">
        <v>5</v>
      </c>
      <c r="H376">
        <v>14538</v>
      </c>
      <c r="I376">
        <v>72690</v>
      </c>
      <c r="J376" s="6" t="str">
        <f t="shared" si="10"/>
        <v>Dec</v>
      </c>
      <c r="K376">
        <f t="shared" si="11"/>
        <v>72690</v>
      </c>
    </row>
    <row r="377" spans="1:11" x14ac:dyDescent="0.35">
      <c r="A377" t="s">
        <v>426</v>
      </c>
      <c r="B377" s="2">
        <v>46319</v>
      </c>
      <c r="C377" t="s">
        <v>55</v>
      </c>
      <c r="D377" t="s">
        <v>91</v>
      </c>
      <c r="E377" t="s">
        <v>17</v>
      </c>
      <c r="F377" t="s">
        <v>13</v>
      </c>
      <c r="G377">
        <v>3</v>
      </c>
      <c r="H377">
        <v>12897</v>
      </c>
      <c r="I377">
        <v>38691</v>
      </c>
      <c r="J377" s="6" t="str">
        <f t="shared" si="10"/>
        <v>Oct</v>
      </c>
      <c r="K377">
        <f t="shared" si="11"/>
        <v>38691</v>
      </c>
    </row>
    <row r="378" spans="1:11" x14ac:dyDescent="0.35">
      <c r="A378" t="s">
        <v>427</v>
      </c>
      <c r="B378" s="2">
        <v>46110</v>
      </c>
      <c r="C378" t="s">
        <v>66</v>
      </c>
      <c r="D378" t="s">
        <v>50</v>
      </c>
      <c r="E378" t="s">
        <v>51</v>
      </c>
      <c r="F378" t="s">
        <v>18</v>
      </c>
      <c r="G378">
        <v>1</v>
      </c>
      <c r="H378">
        <v>253</v>
      </c>
      <c r="I378">
        <v>253</v>
      </c>
      <c r="J378" s="6" t="str">
        <f t="shared" si="10"/>
        <v>Mar</v>
      </c>
      <c r="K378">
        <f t="shared" si="11"/>
        <v>253</v>
      </c>
    </row>
    <row r="379" spans="1:11" x14ac:dyDescent="0.35">
      <c r="A379" t="s">
        <v>428</v>
      </c>
      <c r="B379" s="2">
        <v>46147</v>
      </c>
      <c r="C379" t="s">
        <v>62</v>
      </c>
      <c r="D379" t="s">
        <v>20</v>
      </c>
      <c r="E379" t="s">
        <v>17</v>
      </c>
      <c r="F379" t="s">
        <v>18</v>
      </c>
      <c r="G379">
        <v>2</v>
      </c>
      <c r="H379">
        <v>15772</v>
      </c>
      <c r="I379">
        <v>31544</v>
      </c>
      <c r="J379" s="6" t="str">
        <f t="shared" si="10"/>
        <v>May</v>
      </c>
      <c r="K379">
        <f t="shared" si="11"/>
        <v>31544</v>
      </c>
    </row>
    <row r="380" spans="1:11" x14ac:dyDescent="0.35">
      <c r="A380" t="s">
        <v>429</v>
      </c>
      <c r="B380" s="2">
        <v>46248</v>
      </c>
      <c r="C380" t="s">
        <v>102</v>
      </c>
      <c r="D380" t="s">
        <v>50</v>
      </c>
      <c r="E380" t="s">
        <v>51</v>
      </c>
      <c r="F380" t="s">
        <v>25</v>
      </c>
      <c r="G380">
        <v>1</v>
      </c>
      <c r="H380">
        <v>238</v>
      </c>
      <c r="I380">
        <v>238</v>
      </c>
      <c r="J380" s="6" t="str">
        <f t="shared" si="10"/>
        <v>Aug</v>
      </c>
      <c r="K380">
        <f t="shared" si="11"/>
        <v>238</v>
      </c>
    </row>
    <row r="381" spans="1:11" x14ac:dyDescent="0.35">
      <c r="A381" t="s">
        <v>430</v>
      </c>
      <c r="B381" s="2">
        <v>46233</v>
      </c>
      <c r="C381" t="s">
        <v>66</v>
      </c>
      <c r="D381" t="s">
        <v>16</v>
      </c>
      <c r="E381" t="s">
        <v>17</v>
      </c>
      <c r="F381" t="s">
        <v>18</v>
      </c>
      <c r="G381">
        <v>4</v>
      </c>
      <c r="H381">
        <v>18549</v>
      </c>
      <c r="I381">
        <v>74196</v>
      </c>
      <c r="J381" s="6" t="str">
        <f t="shared" si="10"/>
        <v>Jul</v>
      </c>
      <c r="K381">
        <f t="shared" si="11"/>
        <v>74196</v>
      </c>
    </row>
    <row r="382" spans="1:11" x14ac:dyDescent="0.35">
      <c r="A382" t="s">
        <v>431</v>
      </c>
      <c r="B382" s="2">
        <v>46384</v>
      </c>
      <c r="C382" t="s">
        <v>75</v>
      </c>
      <c r="D382" t="s">
        <v>91</v>
      </c>
      <c r="E382" t="s">
        <v>17</v>
      </c>
      <c r="F382" t="s">
        <v>18</v>
      </c>
      <c r="G382">
        <v>6</v>
      </c>
      <c r="H382">
        <v>12437</v>
      </c>
      <c r="I382">
        <v>74622</v>
      </c>
      <c r="J382" s="6" t="str">
        <f t="shared" si="10"/>
        <v>Dec</v>
      </c>
      <c r="K382">
        <f t="shared" si="11"/>
        <v>74622</v>
      </c>
    </row>
    <row r="383" spans="1:11" x14ac:dyDescent="0.35">
      <c r="A383" t="s">
        <v>432</v>
      </c>
      <c r="B383" s="2">
        <v>46362</v>
      </c>
      <c r="C383" t="s">
        <v>85</v>
      </c>
      <c r="D383" t="s">
        <v>28</v>
      </c>
      <c r="E383" t="s">
        <v>29</v>
      </c>
      <c r="F383" t="s">
        <v>18</v>
      </c>
      <c r="G383">
        <v>5</v>
      </c>
      <c r="H383">
        <v>2430</v>
      </c>
      <c r="I383">
        <v>12150</v>
      </c>
      <c r="J383" s="6" t="str">
        <f t="shared" si="10"/>
        <v>Dec</v>
      </c>
      <c r="K383">
        <f t="shared" si="11"/>
        <v>12150</v>
      </c>
    </row>
    <row r="384" spans="1:11" x14ac:dyDescent="0.35">
      <c r="A384" t="s">
        <v>433</v>
      </c>
      <c r="B384" s="2">
        <v>46258</v>
      </c>
      <c r="C384" t="s">
        <v>22</v>
      </c>
      <c r="D384" t="s">
        <v>20</v>
      </c>
      <c r="E384" t="s">
        <v>17</v>
      </c>
      <c r="F384" t="s">
        <v>36</v>
      </c>
      <c r="G384">
        <v>3</v>
      </c>
      <c r="H384">
        <v>16096</v>
      </c>
      <c r="I384">
        <v>48288</v>
      </c>
      <c r="J384" s="6" t="str">
        <f t="shared" si="10"/>
        <v>Aug</v>
      </c>
      <c r="K384">
        <f t="shared" si="11"/>
        <v>48288</v>
      </c>
    </row>
    <row r="385" spans="1:11" x14ac:dyDescent="0.35">
      <c r="A385" t="s">
        <v>434</v>
      </c>
      <c r="B385" s="2">
        <v>46371</v>
      </c>
      <c r="C385" t="s">
        <v>45</v>
      </c>
      <c r="D385" t="s">
        <v>42</v>
      </c>
      <c r="E385" t="s">
        <v>24</v>
      </c>
      <c r="F385" t="s">
        <v>18</v>
      </c>
      <c r="G385">
        <v>3</v>
      </c>
      <c r="H385">
        <v>8739</v>
      </c>
      <c r="I385">
        <v>26217</v>
      </c>
      <c r="J385" s="6" t="str">
        <f t="shared" si="10"/>
        <v>Dec</v>
      </c>
      <c r="K385">
        <f t="shared" si="11"/>
        <v>26217</v>
      </c>
    </row>
    <row r="386" spans="1:11" x14ac:dyDescent="0.35">
      <c r="A386" t="s">
        <v>435</v>
      </c>
      <c r="B386" s="2">
        <v>46165</v>
      </c>
      <c r="C386" t="s">
        <v>22</v>
      </c>
      <c r="D386" t="s">
        <v>91</v>
      </c>
      <c r="E386" t="s">
        <v>17</v>
      </c>
      <c r="F386" t="s">
        <v>36</v>
      </c>
      <c r="G386">
        <v>2</v>
      </c>
      <c r="H386">
        <v>12878</v>
      </c>
      <c r="I386">
        <v>25756</v>
      </c>
      <c r="J386" s="6" t="str">
        <f t="shared" si="10"/>
        <v>May</v>
      </c>
      <c r="K386">
        <f t="shared" si="11"/>
        <v>25756</v>
      </c>
    </row>
    <row r="387" spans="1:11" x14ac:dyDescent="0.35">
      <c r="A387" t="s">
        <v>436</v>
      </c>
      <c r="B387" s="2">
        <v>46383</v>
      </c>
      <c r="C387" t="s">
        <v>48</v>
      </c>
      <c r="D387" t="s">
        <v>28</v>
      </c>
      <c r="E387" t="s">
        <v>29</v>
      </c>
      <c r="F387" t="s">
        <v>25</v>
      </c>
      <c r="G387">
        <v>3</v>
      </c>
      <c r="H387">
        <v>2608</v>
      </c>
      <c r="I387">
        <v>7824</v>
      </c>
      <c r="J387" s="6" t="str">
        <f t="shared" ref="J387:J450" si="12">TEXT(B387,"mmm")</f>
        <v>Dec</v>
      </c>
      <c r="K387">
        <f t="shared" ref="K387:K450" si="13">G387*H387</f>
        <v>7824</v>
      </c>
    </row>
    <row r="388" spans="1:11" x14ac:dyDescent="0.35">
      <c r="A388" t="s">
        <v>437</v>
      </c>
      <c r="B388" s="2">
        <v>46163</v>
      </c>
      <c r="C388" t="s">
        <v>111</v>
      </c>
      <c r="D388" t="s">
        <v>32</v>
      </c>
      <c r="E388" t="s">
        <v>29</v>
      </c>
      <c r="F388" t="s">
        <v>33</v>
      </c>
      <c r="G388">
        <v>4</v>
      </c>
      <c r="H388">
        <v>781</v>
      </c>
      <c r="I388">
        <v>3124</v>
      </c>
      <c r="J388" s="6" t="str">
        <f t="shared" si="12"/>
        <v>May</v>
      </c>
      <c r="K388">
        <f t="shared" si="13"/>
        <v>3124</v>
      </c>
    </row>
    <row r="389" spans="1:11" x14ac:dyDescent="0.35">
      <c r="A389" t="s">
        <v>438</v>
      </c>
      <c r="B389" s="2">
        <v>46225</v>
      </c>
      <c r="C389" t="s">
        <v>41</v>
      </c>
      <c r="D389" t="s">
        <v>23</v>
      </c>
      <c r="E389" t="s">
        <v>24</v>
      </c>
      <c r="F389" t="s">
        <v>13</v>
      </c>
      <c r="G389">
        <v>6</v>
      </c>
      <c r="H389">
        <v>7048</v>
      </c>
      <c r="I389">
        <v>42288</v>
      </c>
      <c r="J389" s="6" t="str">
        <f t="shared" si="12"/>
        <v>Jul</v>
      </c>
      <c r="K389">
        <f t="shared" si="13"/>
        <v>42288</v>
      </c>
    </row>
    <row r="390" spans="1:11" x14ac:dyDescent="0.35">
      <c r="A390" t="s">
        <v>439</v>
      </c>
      <c r="B390" s="2">
        <v>46063</v>
      </c>
      <c r="C390" t="s">
        <v>41</v>
      </c>
      <c r="D390" t="s">
        <v>59</v>
      </c>
      <c r="E390" t="s">
        <v>29</v>
      </c>
      <c r="F390" t="s">
        <v>25</v>
      </c>
      <c r="G390">
        <v>1</v>
      </c>
      <c r="H390">
        <v>1159</v>
      </c>
      <c r="I390">
        <v>1159</v>
      </c>
      <c r="J390" s="6" t="str">
        <f t="shared" si="12"/>
        <v>Feb</v>
      </c>
      <c r="K390">
        <f t="shared" si="13"/>
        <v>1159</v>
      </c>
    </row>
    <row r="391" spans="1:11" x14ac:dyDescent="0.35">
      <c r="A391" t="s">
        <v>440</v>
      </c>
      <c r="B391" s="2">
        <v>46132</v>
      </c>
      <c r="C391" t="s">
        <v>48</v>
      </c>
      <c r="D391" t="s">
        <v>11</v>
      </c>
      <c r="E391" t="s">
        <v>12</v>
      </c>
      <c r="F391" t="s">
        <v>18</v>
      </c>
      <c r="G391">
        <v>3</v>
      </c>
      <c r="H391">
        <v>1871</v>
      </c>
      <c r="I391">
        <v>5613</v>
      </c>
      <c r="J391" s="6" t="str">
        <f t="shared" si="12"/>
        <v>Apr</v>
      </c>
      <c r="K391">
        <f t="shared" si="13"/>
        <v>5613</v>
      </c>
    </row>
    <row r="392" spans="1:11" x14ac:dyDescent="0.35">
      <c r="A392" t="s">
        <v>441</v>
      </c>
      <c r="B392" s="2">
        <v>46093</v>
      </c>
      <c r="C392" t="s">
        <v>31</v>
      </c>
      <c r="D392" t="s">
        <v>59</v>
      </c>
      <c r="E392" t="s">
        <v>29</v>
      </c>
      <c r="F392" t="s">
        <v>18</v>
      </c>
      <c r="G392">
        <v>5</v>
      </c>
      <c r="H392">
        <v>1238</v>
      </c>
      <c r="I392">
        <v>6190</v>
      </c>
      <c r="J392" s="6" t="str">
        <f t="shared" si="12"/>
        <v>Mar</v>
      </c>
      <c r="K392">
        <f t="shared" si="13"/>
        <v>6190</v>
      </c>
    </row>
    <row r="393" spans="1:11" x14ac:dyDescent="0.35">
      <c r="A393" t="s">
        <v>442</v>
      </c>
      <c r="B393" s="2">
        <v>46048</v>
      </c>
      <c r="C393" t="s">
        <v>66</v>
      </c>
      <c r="D393" t="s">
        <v>50</v>
      </c>
      <c r="E393" t="s">
        <v>51</v>
      </c>
      <c r="F393" t="s">
        <v>13</v>
      </c>
      <c r="G393">
        <v>5</v>
      </c>
      <c r="H393">
        <v>240</v>
      </c>
      <c r="I393">
        <v>1200</v>
      </c>
      <c r="J393" s="6" t="str">
        <f t="shared" si="12"/>
        <v>Jan</v>
      </c>
      <c r="K393">
        <f t="shared" si="13"/>
        <v>1200</v>
      </c>
    </row>
    <row r="394" spans="1:11" x14ac:dyDescent="0.35">
      <c r="A394" t="s">
        <v>443</v>
      </c>
      <c r="B394" s="2">
        <v>46234</v>
      </c>
      <c r="C394" t="s">
        <v>102</v>
      </c>
      <c r="D394" t="s">
        <v>11</v>
      </c>
      <c r="E394" t="s">
        <v>12</v>
      </c>
      <c r="F394" t="s">
        <v>25</v>
      </c>
      <c r="G394">
        <v>2</v>
      </c>
      <c r="H394">
        <v>1671</v>
      </c>
      <c r="I394">
        <v>3342</v>
      </c>
      <c r="J394" s="6" t="str">
        <f t="shared" si="12"/>
        <v>Jul</v>
      </c>
      <c r="K394">
        <f t="shared" si="13"/>
        <v>3342</v>
      </c>
    </row>
    <row r="395" spans="1:11" x14ac:dyDescent="0.35">
      <c r="A395" t="s">
        <v>444</v>
      </c>
      <c r="B395" s="2">
        <v>46025</v>
      </c>
      <c r="C395" t="s">
        <v>22</v>
      </c>
      <c r="D395" t="s">
        <v>46</v>
      </c>
      <c r="E395" t="s">
        <v>17</v>
      </c>
      <c r="F395" t="s">
        <v>13</v>
      </c>
      <c r="G395">
        <v>6</v>
      </c>
      <c r="H395">
        <v>22953</v>
      </c>
      <c r="I395">
        <v>137718</v>
      </c>
      <c r="J395" s="6" t="str">
        <f t="shared" si="12"/>
        <v>Jan</v>
      </c>
      <c r="K395">
        <f t="shared" si="13"/>
        <v>137718</v>
      </c>
    </row>
    <row r="396" spans="1:11" x14ac:dyDescent="0.35">
      <c r="A396" t="s">
        <v>445</v>
      </c>
      <c r="B396" s="2">
        <v>46266</v>
      </c>
      <c r="C396" t="s">
        <v>85</v>
      </c>
      <c r="D396" t="s">
        <v>20</v>
      </c>
      <c r="E396" t="s">
        <v>17</v>
      </c>
      <c r="F396" t="s">
        <v>13</v>
      </c>
      <c r="G396">
        <v>6</v>
      </c>
      <c r="H396">
        <v>16044</v>
      </c>
      <c r="I396">
        <v>96264</v>
      </c>
      <c r="J396" s="6" t="str">
        <f t="shared" si="12"/>
        <v>Sep</v>
      </c>
      <c r="K396">
        <f t="shared" si="13"/>
        <v>96264</v>
      </c>
    </row>
    <row r="397" spans="1:11" x14ac:dyDescent="0.35">
      <c r="A397" t="s">
        <v>446</v>
      </c>
      <c r="B397" s="2">
        <v>46053</v>
      </c>
      <c r="C397" t="s">
        <v>15</v>
      </c>
      <c r="D397" t="s">
        <v>59</v>
      </c>
      <c r="E397" t="s">
        <v>29</v>
      </c>
      <c r="F397" t="s">
        <v>18</v>
      </c>
      <c r="G397">
        <v>3</v>
      </c>
      <c r="H397">
        <v>1159</v>
      </c>
      <c r="I397">
        <v>3477</v>
      </c>
      <c r="J397" s="6" t="str">
        <f t="shared" si="12"/>
        <v>Jan</v>
      </c>
      <c r="K397">
        <f t="shared" si="13"/>
        <v>3477</v>
      </c>
    </row>
    <row r="398" spans="1:11" x14ac:dyDescent="0.35">
      <c r="A398" t="s">
        <v>447</v>
      </c>
      <c r="B398" s="2">
        <v>46042</v>
      </c>
      <c r="C398" t="s">
        <v>27</v>
      </c>
      <c r="D398" t="s">
        <v>28</v>
      </c>
      <c r="E398" t="s">
        <v>29</v>
      </c>
      <c r="F398" t="s">
        <v>25</v>
      </c>
      <c r="G398">
        <v>5</v>
      </c>
      <c r="H398">
        <v>2595</v>
      </c>
      <c r="I398">
        <v>12975</v>
      </c>
      <c r="J398" s="6" t="str">
        <f t="shared" si="12"/>
        <v>Jan</v>
      </c>
      <c r="K398">
        <f t="shared" si="13"/>
        <v>12975</v>
      </c>
    </row>
    <row r="399" spans="1:11" x14ac:dyDescent="0.35">
      <c r="A399" t="s">
        <v>448</v>
      </c>
      <c r="B399" s="2">
        <v>46226</v>
      </c>
      <c r="C399" t="s">
        <v>85</v>
      </c>
      <c r="D399" t="s">
        <v>16</v>
      </c>
      <c r="E399" t="s">
        <v>17</v>
      </c>
      <c r="F399" t="s">
        <v>13</v>
      </c>
      <c r="G399">
        <v>1</v>
      </c>
      <c r="H399">
        <v>19432</v>
      </c>
      <c r="I399">
        <v>19432</v>
      </c>
      <c r="J399" s="6" t="str">
        <f t="shared" si="12"/>
        <v>Jul</v>
      </c>
      <c r="K399">
        <f t="shared" si="13"/>
        <v>19432</v>
      </c>
    </row>
    <row r="400" spans="1:11" x14ac:dyDescent="0.35">
      <c r="A400" t="s">
        <v>449</v>
      </c>
      <c r="B400" s="2">
        <v>46027</v>
      </c>
      <c r="C400" t="s">
        <v>111</v>
      </c>
      <c r="D400" t="s">
        <v>50</v>
      </c>
      <c r="E400" t="s">
        <v>51</v>
      </c>
      <c r="F400" t="s">
        <v>18</v>
      </c>
      <c r="G400">
        <v>3</v>
      </c>
      <c r="H400">
        <v>265</v>
      </c>
      <c r="I400">
        <v>795</v>
      </c>
      <c r="J400" s="6" t="str">
        <f t="shared" si="12"/>
        <v>Jan</v>
      </c>
      <c r="K400">
        <f t="shared" si="13"/>
        <v>795</v>
      </c>
    </row>
    <row r="401" spans="1:11" x14ac:dyDescent="0.35">
      <c r="A401" t="s">
        <v>450</v>
      </c>
      <c r="B401" s="2">
        <v>46194</v>
      </c>
      <c r="C401" t="s">
        <v>111</v>
      </c>
      <c r="D401" t="s">
        <v>23</v>
      </c>
      <c r="E401" t="s">
        <v>24</v>
      </c>
      <c r="F401" t="s">
        <v>25</v>
      </c>
      <c r="G401">
        <v>1</v>
      </c>
      <c r="H401">
        <v>7480</v>
      </c>
      <c r="I401">
        <v>7480</v>
      </c>
      <c r="J401" s="6" t="str">
        <f t="shared" si="12"/>
        <v>Jun</v>
      </c>
      <c r="K401">
        <f t="shared" si="13"/>
        <v>7480</v>
      </c>
    </row>
    <row r="402" spans="1:11" x14ac:dyDescent="0.35">
      <c r="A402" t="s">
        <v>451</v>
      </c>
      <c r="B402" s="2">
        <v>46091</v>
      </c>
      <c r="C402" t="s">
        <v>66</v>
      </c>
      <c r="D402" t="s">
        <v>11</v>
      </c>
      <c r="E402" t="s">
        <v>12</v>
      </c>
      <c r="F402" t="s">
        <v>25</v>
      </c>
      <c r="G402">
        <v>5</v>
      </c>
      <c r="H402">
        <v>1807</v>
      </c>
      <c r="I402">
        <v>9035</v>
      </c>
      <c r="J402" s="6" t="str">
        <f t="shared" si="12"/>
        <v>Mar</v>
      </c>
      <c r="K402">
        <f t="shared" si="13"/>
        <v>9035</v>
      </c>
    </row>
    <row r="403" spans="1:11" x14ac:dyDescent="0.35">
      <c r="A403" t="s">
        <v>452</v>
      </c>
      <c r="B403" s="2">
        <v>46192</v>
      </c>
      <c r="C403" t="s">
        <v>27</v>
      </c>
      <c r="D403" t="s">
        <v>59</v>
      </c>
      <c r="E403" t="s">
        <v>29</v>
      </c>
      <c r="F403" t="s">
        <v>25</v>
      </c>
      <c r="G403">
        <v>2</v>
      </c>
      <c r="H403">
        <v>1259</v>
      </c>
      <c r="I403">
        <v>2518</v>
      </c>
      <c r="J403" s="6" t="str">
        <f t="shared" si="12"/>
        <v>Jun</v>
      </c>
      <c r="K403">
        <f t="shared" si="13"/>
        <v>2518</v>
      </c>
    </row>
    <row r="404" spans="1:11" x14ac:dyDescent="0.35">
      <c r="A404" t="s">
        <v>453</v>
      </c>
      <c r="B404" s="2">
        <v>46030</v>
      </c>
      <c r="C404" t="s">
        <v>102</v>
      </c>
      <c r="D404" t="s">
        <v>11</v>
      </c>
      <c r="E404" t="s">
        <v>12</v>
      </c>
      <c r="F404" t="s">
        <v>36</v>
      </c>
      <c r="G404">
        <v>3</v>
      </c>
      <c r="H404">
        <v>1863</v>
      </c>
      <c r="I404">
        <v>5589</v>
      </c>
      <c r="J404" s="6" t="str">
        <f t="shared" si="12"/>
        <v>Jan</v>
      </c>
      <c r="K404">
        <f t="shared" si="13"/>
        <v>5589</v>
      </c>
    </row>
    <row r="405" spans="1:11" x14ac:dyDescent="0.35">
      <c r="A405" t="s">
        <v>454</v>
      </c>
      <c r="B405" s="2">
        <v>46112</v>
      </c>
      <c r="C405" t="s">
        <v>35</v>
      </c>
      <c r="D405" t="s">
        <v>23</v>
      </c>
      <c r="E405" t="s">
        <v>24</v>
      </c>
      <c r="F405" t="s">
        <v>25</v>
      </c>
      <c r="G405">
        <v>6</v>
      </c>
      <c r="H405">
        <v>7288</v>
      </c>
      <c r="I405">
        <v>43728</v>
      </c>
      <c r="J405" s="6" t="str">
        <f t="shared" si="12"/>
        <v>Mar</v>
      </c>
      <c r="K405">
        <f t="shared" si="13"/>
        <v>43728</v>
      </c>
    </row>
    <row r="406" spans="1:11" x14ac:dyDescent="0.35">
      <c r="A406" t="s">
        <v>455</v>
      </c>
      <c r="B406" s="2">
        <v>46228</v>
      </c>
      <c r="C406" t="s">
        <v>31</v>
      </c>
      <c r="D406" t="s">
        <v>20</v>
      </c>
      <c r="E406" t="s">
        <v>17</v>
      </c>
      <c r="F406" t="s">
        <v>13</v>
      </c>
      <c r="G406">
        <v>5</v>
      </c>
      <c r="H406">
        <v>14587</v>
      </c>
      <c r="I406">
        <v>72935</v>
      </c>
      <c r="J406" s="6" t="str">
        <f t="shared" si="12"/>
        <v>Jul</v>
      </c>
      <c r="K406">
        <f t="shared" si="13"/>
        <v>72935</v>
      </c>
    </row>
    <row r="407" spans="1:11" x14ac:dyDescent="0.35">
      <c r="A407" t="s">
        <v>456</v>
      </c>
      <c r="B407" s="2">
        <v>46150</v>
      </c>
      <c r="C407" t="s">
        <v>80</v>
      </c>
      <c r="D407" t="s">
        <v>16</v>
      </c>
      <c r="E407" t="s">
        <v>17</v>
      </c>
      <c r="F407" t="s">
        <v>36</v>
      </c>
      <c r="G407">
        <v>4</v>
      </c>
      <c r="H407">
        <v>17492</v>
      </c>
      <c r="I407">
        <v>69968</v>
      </c>
      <c r="J407" s="6" t="str">
        <f t="shared" si="12"/>
        <v>May</v>
      </c>
      <c r="K407">
        <f t="shared" si="13"/>
        <v>69968</v>
      </c>
    </row>
    <row r="408" spans="1:11" x14ac:dyDescent="0.35">
      <c r="A408" t="s">
        <v>457</v>
      </c>
      <c r="B408" s="2">
        <v>46159</v>
      </c>
      <c r="C408" t="s">
        <v>102</v>
      </c>
      <c r="D408" t="s">
        <v>20</v>
      </c>
      <c r="E408" t="s">
        <v>17</v>
      </c>
      <c r="F408" t="s">
        <v>36</v>
      </c>
      <c r="G408">
        <v>2</v>
      </c>
      <c r="H408">
        <v>14872</v>
      </c>
      <c r="I408">
        <v>29744</v>
      </c>
      <c r="J408" s="6" t="str">
        <f t="shared" si="12"/>
        <v>May</v>
      </c>
      <c r="K408">
        <f t="shared" si="13"/>
        <v>29744</v>
      </c>
    </row>
    <row r="409" spans="1:11" x14ac:dyDescent="0.35">
      <c r="A409" t="s">
        <v>458</v>
      </c>
      <c r="B409" s="2">
        <v>46156</v>
      </c>
      <c r="C409" t="s">
        <v>41</v>
      </c>
      <c r="D409" t="s">
        <v>23</v>
      </c>
      <c r="E409" t="s">
        <v>24</v>
      </c>
      <c r="F409" t="s">
        <v>13</v>
      </c>
      <c r="G409">
        <v>6</v>
      </c>
      <c r="H409">
        <v>7082</v>
      </c>
      <c r="I409">
        <v>42492</v>
      </c>
      <c r="J409" s="6" t="str">
        <f t="shared" si="12"/>
        <v>May</v>
      </c>
      <c r="K409">
        <f t="shared" si="13"/>
        <v>42492</v>
      </c>
    </row>
    <row r="410" spans="1:11" x14ac:dyDescent="0.35">
      <c r="A410" t="s">
        <v>459</v>
      </c>
      <c r="B410" s="2">
        <v>46180</v>
      </c>
      <c r="C410" t="s">
        <v>27</v>
      </c>
      <c r="D410" t="s">
        <v>39</v>
      </c>
      <c r="E410" t="s">
        <v>17</v>
      </c>
      <c r="F410" t="s">
        <v>25</v>
      </c>
      <c r="G410">
        <v>6</v>
      </c>
      <c r="H410">
        <v>42251</v>
      </c>
      <c r="I410">
        <v>253506</v>
      </c>
      <c r="J410" s="6" t="str">
        <f t="shared" si="12"/>
        <v>Jun</v>
      </c>
      <c r="K410">
        <f t="shared" si="13"/>
        <v>253506</v>
      </c>
    </row>
    <row r="411" spans="1:11" x14ac:dyDescent="0.35">
      <c r="A411" t="s">
        <v>460</v>
      </c>
      <c r="B411" s="2">
        <v>46383</v>
      </c>
      <c r="C411" t="s">
        <v>111</v>
      </c>
      <c r="D411" t="s">
        <v>11</v>
      </c>
      <c r="E411" t="s">
        <v>12</v>
      </c>
      <c r="F411" t="s">
        <v>33</v>
      </c>
      <c r="G411">
        <v>5</v>
      </c>
      <c r="H411">
        <v>1922</v>
      </c>
      <c r="I411">
        <v>9610</v>
      </c>
      <c r="J411" s="6" t="str">
        <f t="shared" si="12"/>
        <v>Dec</v>
      </c>
      <c r="K411">
        <f t="shared" si="13"/>
        <v>9610</v>
      </c>
    </row>
    <row r="412" spans="1:11" x14ac:dyDescent="0.35">
      <c r="A412" t="s">
        <v>461</v>
      </c>
      <c r="B412" s="2">
        <v>46136</v>
      </c>
      <c r="C412" t="s">
        <v>10</v>
      </c>
      <c r="D412" t="s">
        <v>11</v>
      </c>
      <c r="E412" t="s">
        <v>12</v>
      </c>
      <c r="F412" t="s">
        <v>13</v>
      </c>
      <c r="G412">
        <v>3</v>
      </c>
      <c r="H412">
        <v>1762</v>
      </c>
      <c r="I412">
        <v>5286</v>
      </c>
      <c r="J412" s="6" t="str">
        <f t="shared" si="12"/>
        <v>Apr</v>
      </c>
      <c r="K412">
        <f t="shared" si="13"/>
        <v>5286</v>
      </c>
    </row>
    <row r="413" spans="1:11" x14ac:dyDescent="0.35">
      <c r="A413" t="s">
        <v>462</v>
      </c>
      <c r="B413" s="2">
        <v>46333</v>
      </c>
      <c r="C413" t="s">
        <v>41</v>
      </c>
      <c r="D413" t="s">
        <v>91</v>
      </c>
      <c r="E413" t="s">
        <v>17</v>
      </c>
      <c r="F413" t="s">
        <v>25</v>
      </c>
      <c r="G413">
        <v>2</v>
      </c>
      <c r="H413">
        <v>11914</v>
      </c>
      <c r="I413">
        <v>23828</v>
      </c>
      <c r="J413" s="6" t="str">
        <f t="shared" si="12"/>
        <v>Nov</v>
      </c>
      <c r="K413">
        <f t="shared" si="13"/>
        <v>23828</v>
      </c>
    </row>
    <row r="414" spans="1:11" x14ac:dyDescent="0.35">
      <c r="A414" t="s">
        <v>463</v>
      </c>
      <c r="B414" s="2">
        <v>46298</v>
      </c>
      <c r="C414" t="s">
        <v>48</v>
      </c>
      <c r="D414" t="s">
        <v>50</v>
      </c>
      <c r="E414" t="s">
        <v>51</v>
      </c>
      <c r="F414" t="s">
        <v>13</v>
      </c>
      <c r="G414">
        <v>5</v>
      </c>
      <c r="H414">
        <v>267</v>
      </c>
      <c r="I414">
        <v>1335</v>
      </c>
      <c r="J414" s="6" t="str">
        <f t="shared" si="12"/>
        <v>Oct</v>
      </c>
      <c r="K414">
        <f t="shared" si="13"/>
        <v>1335</v>
      </c>
    </row>
    <row r="415" spans="1:11" x14ac:dyDescent="0.35">
      <c r="A415" t="s">
        <v>464</v>
      </c>
      <c r="B415" s="2">
        <v>46064</v>
      </c>
      <c r="C415" t="s">
        <v>66</v>
      </c>
      <c r="D415" t="s">
        <v>11</v>
      </c>
      <c r="E415" t="s">
        <v>12</v>
      </c>
      <c r="F415" t="s">
        <v>25</v>
      </c>
      <c r="G415">
        <v>5</v>
      </c>
      <c r="H415">
        <v>1907</v>
      </c>
      <c r="I415">
        <v>9535</v>
      </c>
      <c r="J415" s="6" t="str">
        <f t="shared" si="12"/>
        <v>Feb</v>
      </c>
      <c r="K415">
        <f t="shared" si="13"/>
        <v>9535</v>
      </c>
    </row>
    <row r="416" spans="1:11" x14ac:dyDescent="0.35">
      <c r="A416" t="s">
        <v>465</v>
      </c>
      <c r="B416" s="2">
        <v>46311</v>
      </c>
      <c r="C416" t="s">
        <v>31</v>
      </c>
      <c r="D416" t="s">
        <v>42</v>
      </c>
      <c r="E416" t="s">
        <v>24</v>
      </c>
      <c r="F416" t="s">
        <v>33</v>
      </c>
      <c r="G416">
        <v>6</v>
      </c>
      <c r="H416">
        <v>8312</v>
      </c>
      <c r="I416">
        <v>49872</v>
      </c>
      <c r="J416" s="6" t="str">
        <f t="shared" si="12"/>
        <v>Oct</v>
      </c>
      <c r="K416">
        <f t="shared" si="13"/>
        <v>49872</v>
      </c>
    </row>
    <row r="417" spans="1:11" x14ac:dyDescent="0.35">
      <c r="A417" t="s">
        <v>466</v>
      </c>
      <c r="B417" s="2">
        <v>46297</v>
      </c>
      <c r="C417" t="s">
        <v>75</v>
      </c>
      <c r="D417" t="s">
        <v>42</v>
      </c>
      <c r="E417" t="s">
        <v>24</v>
      </c>
      <c r="F417" t="s">
        <v>13</v>
      </c>
      <c r="G417">
        <v>5</v>
      </c>
      <c r="H417">
        <v>8095</v>
      </c>
      <c r="I417">
        <v>40475</v>
      </c>
      <c r="J417" s="6" t="str">
        <f t="shared" si="12"/>
        <v>Oct</v>
      </c>
      <c r="K417">
        <f t="shared" si="13"/>
        <v>40475</v>
      </c>
    </row>
    <row r="418" spans="1:11" x14ac:dyDescent="0.35">
      <c r="A418" t="s">
        <v>467</v>
      </c>
      <c r="B418" s="2">
        <v>46371</v>
      </c>
      <c r="C418" t="s">
        <v>48</v>
      </c>
      <c r="D418" t="s">
        <v>32</v>
      </c>
      <c r="E418" t="s">
        <v>29</v>
      </c>
      <c r="F418" t="s">
        <v>18</v>
      </c>
      <c r="G418">
        <v>5</v>
      </c>
      <c r="H418">
        <v>793</v>
      </c>
      <c r="I418">
        <v>3965</v>
      </c>
      <c r="J418" s="6" t="str">
        <f t="shared" si="12"/>
        <v>Dec</v>
      </c>
      <c r="K418">
        <f t="shared" si="13"/>
        <v>3965</v>
      </c>
    </row>
    <row r="419" spans="1:11" x14ac:dyDescent="0.35">
      <c r="A419" t="s">
        <v>468</v>
      </c>
      <c r="B419" s="2">
        <v>46251</v>
      </c>
      <c r="C419" t="s">
        <v>62</v>
      </c>
      <c r="D419" t="s">
        <v>91</v>
      </c>
      <c r="E419" t="s">
        <v>17</v>
      </c>
      <c r="F419" t="s">
        <v>25</v>
      </c>
      <c r="G419">
        <v>1</v>
      </c>
      <c r="H419">
        <v>12766</v>
      </c>
      <c r="I419">
        <v>12766</v>
      </c>
      <c r="J419" s="6" t="str">
        <f t="shared" si="12"/>
        <v>Aug</v>
      </c>
      <c r="K419">
        <f t="shared" si="13"/>
        <v>12766</v>
      </c>
    </row>
    <row r="420" spans="1:11" x14ac:dyDescent="0.35">
      <c r="A420" t="s">
        <v>469</v>
      </c>
      <c r="B420" s="2">
        <v>46311</v>
      </c>
      <c r="C420" t="s">
        <v>62</v>
      </c>
      <c r="D420" t="s">
        <v>16</v>
      </c>
      <c r="E420" t="s">
        <v>17</v>
      </c>
      <c r="F420" t="s">
        <v>18</v>
      </c>
      <c r="G420">
        <v>5</v>
      </c>
      <c r="H420">
        <v>17756</v>
      </c>
      <c r="I420">
        <v>88780</v>
      </c>
      <c r="J420" s="6" t="str">
        <f t="shared" si="12"/>
        <v>Oct</v>
      </c>
      <c r="K420">
        <f t="shared" si="13"/>
        <v>88780</v>
      </c>
    </row>
    <row r="421" spans="1:11" x14ac:dyDescent="0.35">
      <c r="A421" t="s">
        <v>470</v>
      </c>
      <c r="B421" s="2">
        <v>46034</v>
      </c>
      <c r="C421" t="s">
        <v>38</v>
      </c>
      <c r="D421" t="s">
        <v>91</v>
      </c>
      <c r="E421" t="s">
        <v>17</v>
      </c>
      <c r="F421" t="s">
        <v>36</v>
      </c>
      <c r="G421">
        <v>6</v>
      </c>
      <c r="H421">
        <v>12589</v>
      </c>
      <c r="I421">
        <v>75534</v>
      </c>
      <c r="J421" s="6" t="str">
        <f t="shared" si="12"/>
        <v>Jan</v>
      </c>
      <c r="K421">
        <f t="shared" si="13"/>
        <v>75534</v>
      </c>
    </row>
    <row r="422" spans="1:11" x14ac:dyDescent="0.35">
      <c r="A422" t="s">
        <v>471</v>
      </c>
      <c r="B422" s="2">
        <v>46060</v>
      </c>
      <c r="C422" t="s">
        <v>62</v>
      </c>
      <c r="D422" t="s">
        <v>39</v>
      </c>
      <c r="E422" t="s">
        <v>17</v>
      </c>
      <c r="F422" t="s">
        <v>25</v>
      </c>
      <c r="G422">
        <v>6</v>
      </c>
      <c r="H422">
        <v>42969</v>
      </c>
      <c r="I422">
        <v>257814</v>
      </c>
      <c r="J422" s="6" t="str">
        <f t="shared" si="12"/>
        <v>Feb</v>
      </c>
      <c r="K422">
        <f t="shared" si="13"/>
        <v>257814</v>
      </c>
    </row>
    <row r="423" spans="1:11" x14ac:dyDescent="0.35">
      <c r="A423" t="s">
        <v>472</v>
      </c>
      <c r="B423" s="2">
        <v>46053</v>
      </c>
      <c r="C423" t="s">
        <v>15</v>
      </c>
      <c r="D423" t="s">
        <v>32</v>
      </c>
      <c r="E423" t="s">
        <v>29</v>
      </c>
      <c r="F423" t="s">
        <v>25</v>
      </c>
      <c r="G423">
        <v>6</v>
      </c>
      <c r="H423">
        <v>744</v>
      </c>
      <c r="I423">
        <v>4464</v>
      </c>
      <c r="J423" s="6" t="str">
        <f t="shared" si="12"/>
        <v>Jan</v>
      </c>
      <c r="K423">
        <f t="shared" si="13"/>
        <v>4464</v>
      </c>
    </row>
    <row r="424" spans="1:11" x14ac:dyDescent="0.35">
      <c r="A424" t="s">
        <v>473</v>
      </c>
      <c r="B424" s="2">
        <v>46092</v>
      </c>
      <c r="C424" t="s">
        <v>64</v>
      </c>
      <c r="D424" t="s">
        <v>39</v>
      </c>
      <c r="E424" t="s">
        <v>17</v>
      </c>
      <c r="F424" t="s">
        <v>36</v>
      </c>
      <c r="G424">
        <v>3</v>
      </c>
      <c r="H424">
        <v>44344</v>
      </c>
      <c r="I424">
        <v>133032</v>
      </c>
      <c r="J424" s="6" t="str">
        <f t="shared" si="12"/>
        <v>Mar</v>
      </c>
      <c r="K424">
        <f t="shared" si="13"/>
        <v>133032</v>
      </c>
    </row>
    <row r="425" spans="1:11" x14ac:dyDescent="0.35">
      <c r="A425" t="s">
        <v>474</v>
      </c>
      <c r="B425" s="2">
        <v>46216</v>
      </c>
      <c r="C425" t="s">
        <v>38</v>
      </c>
      <c r="D425" t="s">
        <v>20</v>
      </c>
      <c r="E425" t="s">
        <v>17</v>
      </c>
      <c r="F425" t="s">
        <v>33</v>
      </c>
      <c r="G425">
        <v>4</v>
      </c>
      <c r="H425">
        <v>15887</v>
      </c>
      <c r="I425">
        <v>63548</v>
      </c>
      <c r="J425" s="6" t="str">
        <f t="shared" si="12"/>
        <v>Jul</v>
      </c>
      <c r="K425">
        <f t="shared" si="13"/>
        <v>63548</v>
      </c>
    </row>
    <row r="426" spans="1:11" x14ac:dyDescent="0.35">
      <c r="A426" t="s">
        <v>475</v>
      </c>
      <c r="B426" s="2">
        <v>46091</v>
      </c>
      <c r="C426" t="s">
        <v>41</v>
      </c>
      <c r="D426" t="s">
        <v>11</v>
      </c>
      <c r="E426" t="s">
        <v>12</v>
      </c>
      <c r="F426" t="s">
        <v>33</v>
      </c>
      <c r="G426">
        <v>6</v>
      </c>
      <c r="H426">
        <v>1908</v>
      </c>
      <c r="I426">
        <v>11448</v>
      </c>
      <c r="J426" s="6" t="str">
        <f t="shared" si="12"/>
        <v>Mar</v>
      </c>
      <c r="K426">
        <f t="shared" si="13"/>
        <v>11448</v>
      </c>
    </row>
    <row r="427" spans="1:11" x14ac:dyDescent="0.35">
      <c r="A427" t="s">
        <v>476</v>
      </c>
      <c r="B427" s="2">
        <v>46088</v>
      </c>
      <c r="C427" t="s">
        <v>10</v>
      </c>
      <c r="D427" t="s">
        <v>16</v>
      </c>
      <c r="E427" t="s">
        <v>17</v>
      </c>
      <c r="F427" t="s">
        <v>33</v>
      </c>
      <c r="G427">
        <v>5</v>
      </c>
      <c r="H427">
        <v>17692</v>
      </c>
      <c r="I427">
        <v>88460</v>
      </c>
      <c r="J427" s="6" t="str">
        <f t="shared" si="12"/>
        <v>Mar</v>
      </c>
      <c r="K427">
        <f t="shared" si="13"/>
        <v>88460</v>
      </c>
    </row>
    <row r="428" spans="1:11" x14ac:dyDescent="0.35">
      <c r="A428" t="s">
        <v>477</v>
      </c>
      <c r="B428" s="2">
        <v>46301</v>
      </c>
      <c r="C428" t="s">
        <v>64</v>
      </c>
      <c r="D428" t="s">
        <v>39</v>
      </c>
      <c r="E428" t="s">
        <v>17</v>
      </c>
      <c r="F428" t="s">
        <v>18</v>
      </c>
      <c r="G428">
        <v>3</v>
      </c>
      <c r="H428">
        <v>44734</v>
      </c>
      <c r="I428">
        <v>134202</v>
      </c>
      <c r="J428" s="6" t="str">
        <f t="shared" si="12"/>
        <v>Oct</v>
      </c>
      <c r="K428">
        <f t="shared" si="13"/>
        <v>134202</v>
      </c>
    </row>
    <row r="429" spans="1:11" x14ac:dyDescent="0.35">
      <c r="A429" t="s">
        <v>478</v>
      </c>
      <c r="B429" s="2">
        <v>46200</v>
      </c>
      <c r="C429" t="s">
        <v>75</v>
      </c>
      <c r="D429" t="s">
        <v>20</v>
      </c>
      <c r="E429" t="s">
        <v>17</v>
      </c>
      <c r="F429" t="s">
        <v>36</v>
      </c>
      <c r="G429">
        <v>2</v>
      </c>
      <c r="H429">
        <v>14394</v>
      </c>
      <c r="I429">
        <v>28788</v>
      </c>
      <c r="J429" s="6" t="str">
        <f t="shared" si="12"/>
        <v>Jun</v>
      </c>
      <c r="K429">
        <f t="shared" si="13"/>
        <v>28788</v>
      </c>
    </row>
    <row r="430" spans="1:11" x14ac:dyDescent="0.35">
      <c r="A430" t="s">
        <v>479</v>
      </c>
      <c r="B430" s="2">
        <v>46039</v>
      </c>
      <c r="C430" t="s">
        <v>64</v>
      </c>
      <c r="D430" t="s">
        <v>28</v>
      </c>
      <c r="E430" t="s">
        <v>29</v>
      </c>
      <c r="F430" t="s">
        <v>18</v>
      </c>
      <c r="G430">
        <v>6</v>
      </c>
      <c r="H430">
        <v>2606</v>
      </c>
      <c r="I430">
        <v>15636</v>
      </c>
      <c r="J430" s="6" t="str">
        <f t="shared" si="12"/>
        <v>Jan</v>
      </c>
      <c r="K430">
        <f t="shared" si="13"/>
        <v>15636</v>
      </c>
    </row>
    <row r="431" spans="1:11" x14ac:dyDescent="0.35">
      <c r="A431" t="s">
        <v>480</v>
      </c>
      <c r="B431" s="2">
        <v>46074</v>
      </c>
      <c r="C431" t="s">
        <v>35</v>
      </c>
      <c r="D431" t="s">
        <v>39</v>
      </c>
      <c r="E431" t="s">
        <v>17</v>
      </c>
      <c r="F431" t="s">
        <v>33</v>
      </c>
      <c r="G431">
        <v>2</v>
      </c>
      <c r="H431">
        <v>42884</v>
      </c>
      <c r="I431">
        <v>85768</v>
      </c>
      <c r="J431" s="6" t="str">
        <f t="shared" si="12"/>
        <v>Feb</v>
      </c>
      <c r="K431">
        <f t="shared" si="13"/>
        <v>85768</v>
      </c>
    </row>
    <row r="432" spans="1:11" x14ac:dyDescent="0.35">
      <c r="A432" t="s">
        <v>481</v>
      </c>
      <c r="B432" s="2">
        <v>46047</v>
      </c>
      <c r="C432" t="s">
        <v>10</v>
      </c>
      <c r="D432" t="s">
        <v>91</v>
      </c>
      <c r="E432" t="s">
        <v>17</v>
      </c>
      <c r="F432" t="s">
        <v>33</v>
      </c>
      <c r="G432">
        <v>5</v>
      </c>
      <c r="H432">
        <v>12330</v>
      </c>
      <c r="I432">
        <v>61650</v>
      </c>
      <c r="J432" s="6" t="str">
        <f t="shared" si="12"/>
        <v>Jan</v>
      </c>
      <c r="K432">
        <f t="shared" si="13"/>
        <v>61650</v>
      </c>
    </row>
    <row r="433" spans="1:11" x14ac:dyDescent="0.35">
      <c r="A433" t="s">
        <v>482</v>
      </c>
      <c r="B433" s="2">
        <v>46134</v>
      </c>
      <c r="C433" t="s">
        <v>62</v>
      </c>
      <c r="D433" t="s">
        <v>20</v>
      </c>
      <c r="E433" t="s">
        <v>17</v>
      </c>
      <c r="F433" t="s">
        <v>13</v>
      </c>
      <c r="G433">
        <v>4</v>
      </c>
      <c r="H433">
        <v>14362</v>
      </c>
      <c r="I433">
        <v>57448</v>
      </c>
      <c r="J433" s="6" t="str">
        <f t="shared" si="12"/>
        <v>Apr</v>
      </c>
      <c r="K433">
        <f t="shared" si="13"/>
        <v>57448</v>
      </c>
    </row>
    <row r="434" spans="1:11" x14ac:dyDescent="0.35">
      <c r="A434" t="s">
        <v>483</v>
      </c>
      <c r="B434" s="2">
        <v>46317</v>
      </c>
      <c r="C434" t="s">
        <v>102</v>
      </c>
      <c r="D434" t="s">
        <v>42</v>
      </c>
      <c r="E434" t="s">
        <v>24</v>
      </c>
      <c r="F434" t="s">
        <v>18</v>
      </c>
      <c r="G434">
        <v>3</v>
      </c>
      <c r="H434">
        <v>8138</v>
      </c>
      <c r="I434">
        <v>24414</v>
      </c>
      <c r="J434" s="6" t="str">
        <f t="shared" si="12"/>
        <v>Oct</v>
      </c>
      <c r="K434">
        <f t="shared" si="13"/>
        <v>24414</v>
      </c>
    </row>
    <row r="435" spans="1:11" x14ac:dyDescent="0.35">
      <c r="A435" t="s">
        <v>484</v>
      </c>
      <c r="B435" s="2">
        <v>46144</v>
      </c>
      <c r="C435" t="s">
        <v>111</v>
      </c>
      <c r="D435" t="s">
        <v>23</v>
      </c>
      <c r="E435" t="s">
        <v>24</v>
      </c>
      <c r="F435" t="s">
        <v>13</v>
      </c>
      <c r="G435">
        <v>6</v>
      </c>
      <c r="H435">
        <v>7357</v>
      </c>
      <c r="I435">
        <v>44142</v>
      </c>
      <c r="J435" s="6" t="str">
        <f t="shared" si="12"/>
        <v>May</v>
      </c>
      <c r="K435">
        <f t="shared" si="13"/>
        <v>44142</v>
      </c>
    </row>
    <row r="436" spans="1:11" x14ac:dyDescent="0.35">
      <c r="A436" t="s">
        <v>485</v>
      </c>
      <c r="B436" s="2">
        <v>46176</v>
      </c>
      <c r="C436" t="s">
        <v>45</v>
      </c>
      <c r="D436" t="s">
        <v>11</v>
      </c>
      <c r="E436" t="s">
        <v>12</v>
      </c>
      <c r="F436" t="s">
        <v>33</v>
      </c>
      <c r="G436">
        <v>5</v>
      </c>
      <c r="H436">
        <v>1720</v>
      </c>
      <c r="I436">
        <v>8600</v>
      </c>
      <c r="J436" s="6" t="str">
        <f t="shared" si="12"/>
        <v>Jun</v>
      </c>
      <c r="K436">
        <f t="shared" si="13"/>
        <v>8600</v>
      </c>
    </row>
    <row r="437" spans="1:11" x14ac:dyDescent="0.35">
      <c r="A437" t="s">
        <v>486</v>
      </c>
      <c r="B437" s="2">
        <v>46112</v>
      </c>
      <c r="C437" t="s">
        <v>64</v>
      </c>
      <c r="D437" t="s">
        <v>42</v>
      </c>
      <c r="E437" t="s">
        <v>24</v>
      </c>
      <c r="F437" t="s">
        <v>18</v>
      </c>
      <c r="G437">
        <v>5</v>
      </c>
      <c r="H437">
        <v>9016</v>
      </c>
      <c r="I437">
        <v>45080</v>
      </c>
      <c r="J437" s="6" t="str">
        <f t="shared" si="12"/>
        <v>Mar</v>
      </c>
      <c r="K437">
        <f t="shared" si="13"/>
        <v>45080</v>
      </c>
    </row>
    <row r="438" spans="1:11" x14ac:dyDescent="0.35">
      <c r="A438" t="s">
        <v>487</v>
      </c>
      <c r="B438" s="2">
        <v>46352</v>
      </c>
      <c r="C438" t="s">
        <v>38</v>
      </c>
      <c r="D438" t="s">
        <v>91</v>
      </c>
      <c r="E438" t="s">
        <v>17</v>
      </c>
      <c r="F438" t="s">
        <v>18</v>
      </c>
      <c r="G438">
        <v>1</v>
      </c>
      <c r="H438">
        <v>12907</v>
      </c>
      <c r="I438">
        <v>12907</v>
      </c>
      <c r="J438" s="6" t="str">
        <f t="shared" si="12"/>
        <v>Nov</v>
      </c>
      <c r="K438">
        <f t="shared" si="13"/>
        <v>12907</v>
      </c>
    </row>
    <row r="439" spans="1:11" x14ac:dyDescent="0.35">
      <c r="A439" t="s">
        <v>488</v>
      </c>
      <c r="B439" s="2">
        <v>46099</v>
      </c>
      <c r="C439" t="s">
        <v>111</v>
      </c>
      <c r="D439" t="s">
        <v>32</v>
      </c>
      <c r="E439" t="s">
        <v>29</v>
      </c>
      <c r="F439" t="s">
        <v>25</v>
      </c>
      <c r="G439">
        <v>6</v>
      </c>
      <c r="H439">
        <v>789</v>
      </c>
      <c r="I439">
        <v>4734</v>
      </c>
      <c r="J439" s="6" t="str">
        <f t="shared" si="12"/>
        <v>Mar</v>
      </c>
      <c r="K439">
        <f t="shared" si="13"/>
        <v>4734</v>
      </c>
    </row>
    <row r="440" spans="1:11" x14ac:dyDescent="0.35">
      <c r="A440" t="s">
        <v>489</v>
      </c>
      <c r="B440" s="2">
        <v>46138</v>
      </c>
      <c r="C440" t="s">
        <v>111</v>
      </c>
      <c r="D440" t="s">
        <v>16</v>
      </c>
      <c r="E440" t="s">
        <v>17</v>
      </c>
      <c r="F440" t="s">
        <v>13</v>
      </c>
      <c r="G440">
        <v>5</v>
      </c>
      <c r="H440">
        <v>17924</v>
      </c>
      <c r="I440">
        <v>89620</v>
      </c>
      <c r="J440" s="6" t="str">
        <f t="shared" si="12"/>
        <v>Apr</v>
      </c>
      <c r="K440">
        <f t="shared" si="13"/>
        <v>89620</v>
      </c>
    </row>
    <row r="441" spans="1:11" x14ac:dyDescent="0.35">
      <c r="A441" t="s">
        <v>490</v>
      </c>
      <c r="B441" s="2">
        <v>46236</v>
      </c>
      <c r="C441" t="s">
        <v>22</v>
      </c>
      <c r="D441" t="s">
        <v>91</v>
      </c>
      <c r="E441" t="s">
        <v>17</v>
      </c>
      <c r="F441" t="s">
        <v>18</v>
      </c>
      <c r="G441">
        <v>1</v>
      </c>
      <c r="H441">
        <v>12120</v>
      </c>
      <c r="I441">
        <v>12120</v>
      </c>
      <c r="J441" s="6" t="str">
        <f t="shared" si="12"/>
        <v>Aug</v>
      </c>
      <c r="K441">
        <f t="shared" si="13"/>
        <v>12120</v>
      </c>
    </row>
    <row r="442" spans="1:11" x14ac:dyDescent="0.35">
      <c r="A442" t="s">
        <v>491</v>
      </c>
      <c r="B442" s="2">
        <v>46127</v>
      </c>
      <c r="C442" t="s">
        <v>102</v>
      </c>
      <c r="D442" t="s">
        <v>16</v>
      </c>
      <c r="E442" t="s">
        <v>17</v>
      </c>
      <c r="F442" t="s">
        <v>33</v>
      </c>
      <c r="G442">
        <v>4</v>
      </c>
      <c r="H442">
        <v>17259</v>
      </c>
      <c r="I442">
        <v>69036</v>
      </c>
      <c r="J442" s="6" t="str">
        <f t="shared" si="12"/>
        <v>Apr</v>
      </c>
      <c r="K442">
        <f t="shared" si="13"/>
        <v>69036</v>
      </c>
    </row>
    <row r="443" spans="1:11" x14ac:dyDescent="0.35">
      <c r="A443" t="s">
        <v>492</v>
      </c>
      <c r="B443" s="2">
        <v>46120</v>
      </c>
      <c r="C443" t="s">
        <v>62</v>
      </c>
      <c r="D443" t="s">
        <v>91</v>
      </c>
      <c r="E443" t="s">
        <v>17</v>
      </c>
      <c r="F443" t="s">
        <v>36</v>
      </c>
      <c r="G443">
        <v>3</v>
      </c>
      <c r="H443">
        <v>11218</v>
      </c>
      <c r="I443">
        <v>33654</v>
      </c>
      <c r="J443" s="6" t="str">
        <f t="shared" si="12"/>
        <v>Apr</v>
      </c>
      <c r="K443">
        <f t="shared" si="13"/>
        <v>33654</v>
      </c>
    </row>
    <row r="444" spans="1:11" x14ac:dyDescent="0.35">
      <c r="A444" t="s">
        <v>493</v>
      </c>
      <c r="B444" s="2">
        <v>46043</v>
      </c>
      <c r="C444" t="s">
        <v>15</v>
      </c>
      <c r="D444" t="s">
        <v>20</v>
      </c>
      <c r="E444" t="s">
        <v>17</v>
      </c>
      <c r="F444" t="s">
        <v>13</v>
      </c>
      <c r="G444">
        <v>6</v>
      </c>
      <c r="H444">
        <v>15252</v>
      </c>
      <c r="I444">
        <v>91512</v>
      </c>
      <c r="J444" s="6" t="str">
        <f t="shared" si="12"/>
        <v>Jan</v>
      </c>
      <c r="K444">
        <f t="shared" si="13"/>
        <v>91512</v>
      </c>
    </row>
    <row r="445" spans="1:11" x14ac:dyDescent="0.35">
      <c r="A445" t="s">
        <v>494</v>
      </c>
      <c r="B445" s="2">
        <v>46134</v>
      </c>
      <c r="C445" t="s">
        <v>85</v>
      </c>
      <c r="D445" t="s">
        <v>23</v>
      </c>
      <c r="E445" t="s">
        <v>24</v>
      </c>
      <c r="F445" t="s">
        <v>13</v>
      </c>
      <c r="G445">
        <v>6</v>
      </c>
      <c r="H445">
        <v>7192</v>
      </c>
      <c r="I445">
        <v>43152</v>
      </c>
      <c r="J445" s="6" t="str">
        <f t="shared" si="12"/>
        <v>Apr</v>
      </c>
      <c r="K445">
        <f t="shared" si="13"/>
        <v>43152</v>
      </c>
    </row>
    <row r="446" spans="1:11" x14ac:dyDescent="0.35">
      <c r="A446" t="s">
        <v>495</v>
      </c>
      <c r="B446" s="2">
        <v>46030</v>
      </c>
      <c r="C446" t="s">
        <v>48</v>
      </c>
      <c r="D446" t="s">
        <v>32</v>
      </c>
      <c r="E446" t="s">
        <v>29</v>
      </c>
      <c r="F446" t="s">
        <v>13</v>
      </c>
      <c r="G446">
        <v>3</v>
      </c>
      <c r="H446">
        <v>858</v>
      </c>
      <c r="I446">
        <v>2574</v>
      </c>
      <c r="J446" s="6" t="str">
        <f t="shared" si="12"/>
        <v>Jan</v>
      </c>
      <c r="K446">
        <f t="shared" si="13"/>
        <v>2574</v>
      </c>
    </row>
    <row r="447" spans="1:11" x14ac:dyDescent="0.35">
      <c r="A447" t="s">
        <v>496</v>
      </c>
      <c r="B447" s="2">
        <v>46268</v>
      </c>
      <c r="C447" t="s">
        <v>10</v>
      </c>
      <c r="D447" t="s">
        <v>50</v>
      </c>
      <c r="E447" t="s">
        <v>51</v>
      </c>
      <c r="F447" t="s">
        <v>18</v>
      </c>
      <c r="G447">
        <v>1</v>
      </c>
      <c r="H447">
        <v>260</v>
      </c>
      <c r="I447">
        <v>260</v>
      </c>
      <c r="J447" s="6" t="str">
        <f t="shared" si="12"/>
        <v>Sep</v>
      </c>
      <c r="K447">
        <f t="shared" si="13"/>
        <v>260</v>
      </c>
    </row>
    <row r="448" spans="1:11" x14ac:dyDescent="0.35">
      <c r="A448" t="s">
        <v>497</v>
      </c>
      <c r="B448" s="2">
        <v>46145</v>
      </c>
      <c r="C448" t="s">
        <v>22</v>
      </c>
      <c r="D448" t="s">
        <v>50</v>
      </c>
      <c r="E448" t="s">
        <v>51</v>
      </c>
      <c r="F448" t="s">
        <v>36</v>
      </c>
      <c r="G448">
        <v>2</v>
      </c>
      <c r="H448">
        <v>246</v>
      </c>
      <c r="I448">
        <v>492</v>
      </c>
      <c r="J448" s="6" t="str">
        <f t="shared" si="12"/>
        <v>May</v>
      </c>
      <c r="K448">
        <f t="shared" si="13"/>
        <v>492</v>
      </c>
    </row>
    <row r="449" spans="1:11" x14ac:dyDescent="0.35">
      <c r="A449" t="s">
        <v>498</v>
      </c>
      <c r="B449" s="2">
        <v>46355</v>
      </c>
      <c r="C449" t="s">
        <v>41</v>
      </c>
      <c r="D449" t="s">
        <v>59</v>
      </c>
      <c r="E449" t="s">
        <v>29</v>
      </c>
      <c r="F449" t="s">
        <v>36</v>
      </c>
      <c r="G449">
        <v>4</v>
      </c>
      <c r="H449">
        <v>1194</v>
      </c>
      <c r="I449">
        <v>4776</v>
      </c>
      <c r="J449" s="6" t="str">
        <f t="shared" si="12"/>
        <v>Nov</v>
      </c>
      <c r="K449">
        <f t="shared" si="13"/>
        <v>4776</v>
      </c>
    </row>
    <row r="450" spans="1:11" x14ac:dyDescent="0.35">
      <c r="A450" t="s">
        <v>499</v>
      </c>
      <c r="B450" s="2">
        <v>46277</v>
      </c>
      <c r="C450" t="s">
        <v>57</v>
      </c>
      <c r="D450" t="s">
        <v>59</v>
      </c>
      <c r="E450" t="s">
        <v>29</v>
      </c>
      <c r="F450" t="s">
        <v>33</v>
      </c>
      <c r="G450">
        <v>3</v>
      </c>
      <c r="H450">
        <v>1202</v>
      </c>
      <c r="I450">
        <v>3606</v>
      </c>
      <c r="J450" s="6" t="str">
        <f t="shared" si="12"/>
        <v>Sep</v>
      </c>
      <c r="K450">
        <f t="shared" si="13"/>
        <v>3606</v>
      </c>
    </row>
    <row r="451" spans="1:11" x14ac:dyDescent="0.35">
      <c r="A451" t="s">
        <v>500</v>
      </c>
      <c r="B451" s="2">
        <v>46186</v>
      </c>
      <c r="C451" t="s">
        <v>48</v>
      </c>
      <c r="D451" t="s">
        <v>50</v>
      </c>
      <c r="E451" t="s">
        <v>51</v>
      </c>
      <c r="F451" t="s">
        <v>36</v>
      </c>
      <c r="G451">
        <v>4</v>
      </c>
      <c r="H451">
        <v>260</v>
      </c>
      <c r="I451">
        <v>1040</v>
      </c>
      <c r="J451" s="6" t="str">
        <f t="shared" ref="J451:J501" si="14">TEXT(B451,"mmm")</f>
        <v>Jun</v>
      </c>
      <c r="K451">
        <f t="shared" ref="K451:K501" si="15">G451*H451</f>
        <v>1040</v>
      </c>
    </row>
    <row r="452" spans="1:11" x14ac:dyDescent="0.35">
      <c r="A452" t="s">
        <v>501</v>
      </c>
      <c r="B452" s="2">
        <v>46136</v>
      </c>
      <c r="C452" t="s">
        <v>75</v>
      </c>
      <c r="D452" t="s">
        <v>32</v>
      </c>
      <c r="E452" t="s">
        <v>29</v>
      </c>
      <c r="F452" t="s">
        <v>33</v>
      </c>
      <c r="G452">
        <v>4</v>
      </c>
      <c r="H452">
        <v>742</v>
      </c>
      <c r="I452">
        <v>2968</v>
      </c>
      <c r="J452" s="6" t="str">
        <f t="shared" si="14"/>
        <v>Apr</v>
      </c>
      <c r="K452">
        <f t="shared" si="15"/>
        <v>2968</v>
      </c>
    </row>
    <row r="453" spans="1:11" x14ac:dyDescent="0.35">
      <c r="A453" t="s">
        <v>502</v>
      </c>
      <c r="B453" s="2">
        <v>46319</v>
      </c>
      <c r="C453" t="s">
        <v>64</v>
      </c>
      <c r="D453" t="s">
        <v>59</v>
      </c>
      <c r="E453" t="s">
        <v>29</v>
      </c>
      <c r="F453" t="s">
        <v>36</v>
      </c>
      <c r="G453">
        <v>5</v>
      </c>
      <c r="H453">
        <v>1283</v>
      </c>
      <c r="I453">
        <v>6415</v>
      </c>
      <c r="J453" s="6" t="str">
        <f t="shared" si="14"/>
        <v>Oct</v>
      </c>
      <c r="K453">
        <f t="shared" si="15"/>
        <v>6415</v>
      </c>
    </row>
    <row r="454" spans="1:11" x14ac:dyDescent="0.35">
      <c r="A454" t="s">
        <v>503</v>
      </c>
      <c r="B454" s="2">
        <v>46217</v>
      </c>
      <c r="C454" t="s">
        <v>55</v>
      </c>
      <c r="D454" t="s">
        <v>16</v>
      </c>
      <c r="E454" t="s">
        <v>17</v>
      </c>
      <c r="F454" t="s">
        <v>13</v>
      </c>
      <c r="G454">
        <v>2</v>
      </c>
      <c r="H454">
        <v>17510</v>
      </c>
      <c r="I454">
        <v>35020</v>
      </c>
      <c r="J454" s="6" t="str">
        <f t="shared" si="14"/>
        <v>Jul</v>
      </c>
      <c r="K454">
        <f t="shared" si="15"/>
        <v>35020</v>
      </c>
    </row>
    <row r="455" spans="1:11" x14ac:dyDescent="0.35">
      <c r="A455" t="s">
        <v>504</v>
      </c>
      <c r="B455" s="2">
        <v>46373</v>
      </c>
      <c r="C455" t="s">
        <v>102</v>
      </c>
      <c r="D455" t="s">
        <v>91</v>
      </c>
      <c r="E455" t="s">
        <v>17</v>
      </c>
      <c r="F455" t="s">
        <v>36</v>
      </c>
      <c r="G455">
        <v>5</v>
      </c>
      <c r="H455">
        <v>12297</v>
      </c>
      <c r="I455">
        <v>61485</v>
      </c>
      <c r="J455" s="6" t="str">
        <f t="shared" si="14"/>
        <v>Dec</v>
      </c>
      <c r="K455">
        <f t="shared" si="15"/>
        <v>61485</v>
      </c>
    </row>
    <row r="456" spans="1:11" x14ac:dyDescent="0.35">
      <c r="A456" t="s">
        <v>505</v>
      </c>
      <c r="B456" s="2">
        <v>46274</v>
      </c>
      <c r="C456" t="s">
        <v>57</v>
      </c>
      <c r="D456" t="s">
        <v>91</v>
      </c>
      <c r="E456" t="s">
        <v>17</v>
      </c>
      <c r="F456" t="s">
        <v>13</v>
      </c>
      <c r="G456">
        <v>6</v>
      </c>
      <c r="H456">
        <v>12272</v>
      </c>
      <c r="I456">
        <v>73632</v>
      </c>
      <c r="J456" s="6" t="str">
        <f t="shared" si="14"/>
        <v>Sep</v>
      </c>
      <c r="K456">
        <f t="shared" si="15"/>
        <v>73632</v>
      </c>
    </row>
    <row r="457" spans="1:11" x14ac:dyDescent="0.35">
      <c r="A457" t="s">
        <v>506</v>
      </c>
      <c r="B457" s="2">
        <v>46302</v>
      </c>
      <c r="C457" t="s">
        <v>85</v>
      </c>
      <c r="D457" t="s">
        <v>50</v>
      </c>
      <c r="E457" t="s">
        <v>51</v>
      </c>
      <c r="F457" t="s">
        <v>13</v>
      </c>
      <c r="G457">
        <v>3</v>
      </c>
      <c r="H457">
        <v>237</v>
      </c>
      <c r="I457">
        <v>711</v>
      </c>
      <c r="J457" s="6" t="str">
        <f t="shared" si="14"/>
        <v>Oct</v>
      </c>
      <c r="K457">
        <f t="shared" si="15"/>
        <v>711</v>
      </c>
    </row>
    <row r="458" spans="1:11" x14ac:dyDescent="0.35">
      <c r="A458" t="s">
        <v>507</v>
      </c>
      <c r="B458" s="2">
        <v>46291</v>
      </c>
      <c r="C458" t="s">
        <v>62</v>
      </c>
      <c r="D458" t="s">
        <v>42</v>
      </c>
      <c r="E458" t="s">
        <v>24</v>
      </c>
      <c r="F458" t="s">
        <v>33</v>
      </c>
      <c r="G458">
        <v>6</v>
      </c>
      <c r="H458">
        <v>9122</v>
      </c>
      <c r="I458">
        <v>54732</v>
      </c>
      <c r="J458" s="6" t="str">
        <f t="shared" si="14"/>
        <v>Sep</v>
      </c>
      <c r="K458">
        <f t="shared" si="15"/>
        <v>54732</v>
      </c>
    </row>
    <row r="459" spans="1:11" x14ac:dyDescent="0.35">
      <c r="A459" t="s">
        <v>508</v>
      </c>
      <c r="B459" s="2">
        <v>46234</v>
      </c>
      <c r="C459" t="s">
        <v>75</v>
      </c>
      <c r="D459" t="s">
        <v>11</v>
      </c>
      <c r="E459" t="s">
        <v>12</v>
      </c>
      <c r="F459" t="s">
        <v>13</v>
      </c>
      <c r="G459">
        <v>1</v>
      </c>
      <c r="H459">
        <v>1876</v>
      </c>
      <c r="I459">
        <v>1876</v>
      </c>
      <c r="J459" s="6" t="str">
        <f t="shared" si="14"/>
        <v>Jul</v>
      </c>
      <c r="K459">
        <f t="shared" si="15"/>
        <v>1876</v>
      </c>
    </row>
    <row r="460" spans="1:11" x14ac:dyDescent="0.35">
      <c r="A460" t="s">
        <v>509</v>
      </c>
      <c r="B460" s="2">
        <v>46134</v>
      </c>
      <c r="C460" t="s">
        <v>66</v>
      </c>
      <c r="D460" t="s">
        <v>46</v>
      </c>
      <c r="E460" t="s">
        <v>17</v>
      </c>
      <c r="F460" t="s">
        <v>25</v>
      </c>
      <c r="G460">
        <v>6</v>
      </c>
      <c r="H460">
        <v>20772</v>
      </c>
      <c r="I460">
        <v>124632</v>
      </c>
      <c r="J460" s="6" t="str">
        <f t="shared" si="14"/>
        <v>Apr</v>
      </c>
      <c r="K460">
        <f t="shared" si="15"/>
        <v>124632</v>
      </c>
    </row>
    <row r="461" spans="1:11" x14ac:dyDescent="0.35">
      <c r="A461" t="s">
        <v>510</v>
      </c>
      <c r="B461" s="2">
        <v>46364</v>
      </c>
      <c r="C461" t="s">
        <v>35</v>
      </c>
      <c r="D461" t="s">
        <v>32</v>
      </c>
      <c r="E461" t="s">
        <v>29</v>
      </c>
      <c r="F461" t="s">
        <v>25</v>
      </c>
      <c r="G461">
        <v>1</v>
      </c>
      <c r="H461">
        <v>815</v>
      </c>
      <c r="I461">
        <v>815</v>
      </c>
      <c r="J461" s="6" t="str">
        <f t="shared" si="14"/>
        <v>Dec</v>
      </c>
      <c r="K461">
        <f t="shared" si="15"/>
        <v>815</v>
      </c>
    </row>
    <row r="462" spans="1:11" x14ac:dyDescent="0.35">
      <c r="A462" t="s">
        <v>511</v>
      </c>
      <c r="B462" s="2">
        <v>46295</v>
      </c>
      <c r="C462" t="s">
        <v>22</v>
      </c>
      <c r="D462" t="s">
        <v>11</v>
      </c>
      <c r="E462" t="s">
        <v>12</v>
      </c>
      <c r="F462" t="s">
        <v>25</v>
      </c>
      <c r="G462">
        <v>4</v>
      </c>
      <c r="H462">
        <v>1661</v>
      </c>
      <c r="I462">
        <v>6644</v>
      </c>
      <c r="J462" s="6" t="str">
        <f t="shared" si="14"/>
        <v>Sep</v>
      </c>
      <c r="K462">
        <f t="shared" si="15"/>
        <v>6644</v>
      </c>
    </row>
    <row r="463" spans="1:11" x14ac:dyDescent="0.35">
      <c r="A463" t="s">
        <v>512</v>
      </c>
      <c r="B463" s="2">
        <v>46163</v>
      </c>
      <c r="C463" t="s">
        <v>22</v>
      </c>
      <c r="D463" t="s">
        <v>39</v>
      </c>
      <c r="E463" t="s">
        <v>17</v>
      </c>
      <c r="F463" t="s">
        <v>36</v>
      </c>
      <c r="G463">
        <v>1</v>
      </c>
      <c r="H463">
        <v>45212</v>
      </c>
      <c r="I463">
        <v>45212</v>
      </c>
      <c r="J463" s="6" t="str">
        <f t="shared" si="14"/>
        <v>May</v>
      </c>
      <c r="K463">
        <f t="shared" si="15"/>
        <v>45212</v>
      </c>
    </row>
    <row r="464" spans="1:11" x14ac:dyDescent="0.35">
      <c r="A464" t="s">
        <v>513</v>
      </c>
      <c r="B464" s="2">
        <v>46368</v>
      </c>
      <c r="C464" t="s">
        <v>64</v>
      </c>
      <c r="D464" t="s">
        <v>39</v>
      </c>
      <c r="E464" t="s">
        <v>17</v>
      </c>
      <c r="F464" t="s">
        <v>13</v>
      </c>
      <c r="G464">
        <v>5</v>
      </c>
      <c r="H464">
        <v>47255</v>
      </c>
      <c r="I464">
        <v>236275</v>
      </c>
      <c r="J464" s="6" t="str">
        <f t="shared" si="14"/>
        <v>Dec</v>
      </c>
      <c r="K464">
        <f t="shared" si="15"/>
        <v>236275</v>
      </c>
    </row>
    <row r="465" spans="1:11" x14ac:dyDescent="0.35">
      <c r="A465" t="s">
        <v>514</v>
      </c>
      <c r="B465" s="2">
        <v>46146</v>
      </c>
      <c r="C465" t="s">
        <v>48</v>
      </c>
      <c r="D465" t="s">
        <v>46</v>
      </c>
      <c r="E465" t="s">
        <v>17</v>
      </c>
      <c r="F465" t="s">
        <v>18</v>
      </c>
      <c r="G465">
        <v>1</v>
      </c>
      <c r="H465">
        <v>22086</v>
      </c>
      <c r="I465">
        <v>22086</v>
      </c>
      <c r="J465" s="6" t="str">
        <f t="shared" si="14"/>
        <v>May</v>
      </c>
      <c r="K465">
        <f t="shared" si="15"/>
        <v>22086</v>
      </c>
    </row>
    <row r="466" spans="1:11" x14ac:dyDescent="0.35">
      <c r="A466" t="s">
        <v>515</v>
      </c>
      <c r="B466" s="2">
        <v>46159</v>
      </c>
      <c r="C466" t="s">
        <v>38</v>
      </c>
      <c r="D466" t="s">
        <v>42</v>
      </c>
      <c r="E466" t="s">
        <v>24</v>
      </c>
      <c r="F466" t="s">
        <v>33</v>
      </c>
      <c r="G466">
        <v>3</v>
      </c>
      <c r="H466">
        <v>8929</v>
      </c>
      <c r="I466">
        <v>26787</v>
      </c>
      <c r="J466" s="6" t="str">
        <f t="shared" si="14"/>
        <v>May</v>
      </c>
      <c r="K466">
        <f t="shared" si="15"/>
        <v>26787</v>
      </c>
    </row>
    <row r="467" spans="1:11" x14ac:dyDescent="0.35">
      <c r="A467" t="s">
        <v>516</v>
      </c>
      <c r="B467" s="2">
        <v>46147</v>
      </c>
      <c r="C467" t="s">
        <v>10</v>
      </c>
      <c r="D467" t="s">
        <v>32</v>
      </c>
      <c r="E467" t="s">
        <v>29</v>
      </c>
      <c r="F467" t="s">
        <v>36</v>
      </c>
      <c r="G467">
        <v>4</v>
      </c>
      <c r="H467">
        <v>795</v>
      </c>
      <c r="I467">
        <v>3180</v>
      </c>
      <c r="J467" s="6" t="str">
        <f t="shared" si="14"/>
        <v>May</v>
      </c>
      <c r="K467">
        <f t="shared" si="15"/>
        <v>3180</v>
      </c>
    </row>
    <row r="468" spans="1:11" x14ac:dyDescent="0.35">
      <c r="A468" t="s">
        <v>517</v>
      </c>
      <c r="B468" s="2">
        <v>46355</v>
      </c>
      <c r="C468" t="s">
        <v>62</v>
      </c>
      <c r="D468" t="s">
        <v>11</v>
      </c>
      <c r="E468" t="s">
        <v>12</v>
      </c>
      <c r="F468" t="s">
        <v>33</v>
      </c>
      <c r="G468">
        <v>1</v>
      </c>
      <c r="H468">
        <v>1844</v>
      </c>
      <c r="I468">
        <v>1844</v>
      </c>
      <c r="J468" s="6" t="str">
        <f t="shared" si="14"/>
        <v>Nov</v>
      </c>
      <c r="K468">
        <f t="shared" si="15"/>
        <v>1844</v>
      </c>
    </row>
    <row r="469" spans="1:11" x14ac:dyDescent="0.35">
      <c r="A469" t="s">
        <v>518</v>
      </c>
      <c r="B469" s="2">
        <v>46266</v>
      </c>
      <c r="C469" t="s">
        <v>62</v>
      </c>
      <c r="D469" t="s">
        <v>20</v>
      </c>
      <c r="E469" t="s">
        <v>17</v>
      </c>
      <c r="F469" t="s">
        <v>33</v>
      </c>
      <c r="G469">
        <v>4</v>
      </c>
      <c r="H469">
        <v>14705</v>
      </c>
      <c r="I469">
        <v>58820</v>
      </c>
      <c r="J469" s="6" t="str">
        <f t="shared" si="14"/>
        <v>Sep</v>
      </c>
      <c r="K469">
        <f t="shared" si="15"/>
        <v>58820</v>
      </c>
    </row>
    <row r="470" spans="1:11" x14ac:dyDescent="0.35">
      <c r="A470" t="s">
        <v>519</v>
      </c>
      <c r="B470" s="2">
        <v>46245</v>
      </c>
      <c r="C470" t="s">
        <v>102</v>
      </c>
      <c r="D470" t="s">
        <v>50</v>
      </c>
      <c r="E470" t="s">
        <v>51</v>
      </c>
      <c r="F470" t="s">
        <v>18</v>
      </c>
      <c r="G470">
        <v>2</v>
      </c>
      <c r="H470">
        <v>233</v>
      </c>
      <c r="I470">
        <v>466</v>
      </c>
      <c r="J470" s="6" t="str">
        <f t="shared" si="14"/>
        <v>Aug</v>
      </c>
      <c r="K470">
        <f t="shared" si="15"/>
        <v>466</v>
      </c>
    </row>
    <row r="471" spans="1:11" x14ac:dyDescent="0.35">
      <c r="A471" t="s">
        <v>520</v>
      </c>
      <c r="B471" s="2">
        <v>46140</v>
      </c>
      <c r="C471" t="s">
        <v>48</v>
      </c>
      <c r="D471" t="s">
        <v>46</v>
      </c>
      <c r="E471" t="s">
        <v>17</v>
      </c>
      <c r="F471" t="s">
        <v>18</v>
      </c>
      <c r="G471">
        <v>5</v>
      </c>
      <c r="H471">
        <v>23475</v>
      </c>
      <c r="I471">
        <v>117375</v>
      </c>
      <c r="J471" s="6" t="str">
        <f t="shared" si="14"/>
        <v>Apr</v>
      </c>
      <c r="K471">
        <f t="shared" si="15"/>
        <v>117375</v>
      </c>
    </row>
    <row r="472" spans="1:11" x14ac:dyDescent="0.35">
      <c r="A472" t="s">
        <v>521</v>
      </c>
      <c r="B472" s="2">
        <v>46061</v>
      </c>
      <c r="C472" t="s">
        <v>45</v>
      </c>
      <c r="D472" t="s">
        <v>91</v>
      </c>
      <c r="E472" t="s">
        <v>17</v>
      </c>
      <c r="F472" t="s">
        <v>18</v>
      </c>
      <c r="G472">
        <v>3</v>
      </c>
      <c r="H472">
        <v>11129</v>
      </c>
      <c r="I472">
        <v>33387</v>
      </c>
      <c r="J472" s="6" t="str">
        <f t="shared" si="14"/>
        <v>Feb</v>
      </c>
      <c r="K472">
        <f t="shared" si="15"/>
        <v>33387</v>
      </c>
    </row>
    <row r="473" spans="1:11" x14ac:dyDescent="0.35">
      <c r="A473" t="s">
        <v>522</v>
      </c>
      <c r="B473" s="2">
        <v>46184</v>
      </c>
      <c r="C473" t="s">
        <v>80</v>
      </c>
      <c r="D473" t="s">
        <v>23</v>
      </c>
      <c r="E473" t="s">
        <v>24</v>
      </c>
      <c r="F473" t="s">
        <v>13</v>
      </c>
      <c r="G473">
        <v>6</v>
      </c>
      <c r="H473">
        <v>6477</v>
      </c>
      <c r="I473">
        <v>38862</v>
      </c>
      <c r="J473" s="6" t="str">
        <f t="shared" si="14"/>
        <v>Jun</v>
      </c>
      <c r="K473">
        <f t="shared" si="15"/>
        <v>38862</v>
      </c>
    </row>
    <row r="474" spans="1:11" x14ac:dyDescent="0.35">
      <c r="A474" t="s">
        <v>523</v>
      </c>
      <c r="B474" s="2">
        <v>46387</v>
      </c>
      <c r="C474" t="s">
        <v>38</v>
      </c>
      <c r="D474" t="s">
        <v>23</v>
      </c>
      <c r="E474" t="s">
        <v>24</v>
      </c>
      <c r="F474" t="s">
        <v>33</v>
      </c>
      <c r="G474">
        <v>2</v>
      </c>
      <c r="H474">
        <v>7283</v>
      </c>
      <c r="I474">
        <v>14566</v>
      </c>
      <c r="J474" s="6" t="str">
        <f t="shared" si="14"/>
        <v>Dec</v>
      </c>
      <c r="K474">
        <f t="shared" si="15"/>
        <v>14566</v>
      </c>
    </row>
    <row r="475" spans="1:11" x14ac:dyDescent="0.35">
      <c r="A475" t="s">
        <v>524</v>
      </c>
      <c r="B475" s="2">
        <v>46313</v>
      </c>
      <c r="C475" t="s">
        <v>38</v>
      </c>
      <c r="D475" t="s">
        <v>59</v>
      </c>
      <c r="E475" t="s">
        <v>29</v>
      </c>
      <c r="F475" t="s">
        <v>18</v>
      </c>
      <c r="G475">
        <v>2</v>
      </c>
      <c r="H475">
        <v>1212</v>
      </c>
      <c r="I475">
        <v>2424</v>
      </c>
      <c r="J475" s="6" t="str">
        <f t="shared" si="14"/>
        <v>Oct</v>
      </c>
      <c r="K475">
        <f t="shared" si="15"/>
        <v>2424</v>
      </c>
    </row>
    <row r="476" spans="1:11" x14ac:dyDescent="0.35">
      <c r="A476" t="s">
        <v>525</v>
      </c>
      <c r="B476" s="2">
        <v>46094</v>
      </c>
      <c r="C476" t="s">
        <v>15</v>
      </c>
      <c r="D476" t="s">
        <v>32</v>
      </c>
      <c r="E476" t="s">
        <v>29</v>
      </c>
      <c r="F476" t="s">
        <v>18</v>
      </c>
      <c r="G476">
        <v>4</v>
      </c>
      <c r="H476">
        <v>833</v>
      </c>
      <c r="I476">
        <v>3332</v>
      </c>
      <c r="J476" s="6" t="str">
        <f t="shared" si="14"/>
        <v>Mar</v>
      </c>
      <c r="K476">
        <f t="shared" si="15"/>
        <v>3332</v>
      </c>
    </row>
    <row r="477" spans="1:11" x14ac:dyDescent="0.35">
      <c r="A477" t="s">
        <v>526</v>
      </c>
      <c r="B477" s="2">
        <v>46246</v>
      </c>
      <c r="C477" t="s">
        <v>10</v>
      </c>
      <c r="D477" t="s">
        <v>50</v>
      </c>
      <c r="E477" t="s">
        <v>51</v>
      </c>
      <c r="F477" t="s">
        <v>33</v>
      </c>
      <c r="G477">
        <v>3</v>
      </c>
      <c r="H477">
        <v>232</v>
      </c>
      <c r="I477">
        <v>696</v>
      </c>
      <c r="J477" s="6" t="str">
        <f t="shared" si="14"/>
        <v>Aug</v>
      </c>
      <c r="K477">
        <f t="shared" si="15"/>
        <v>696</v>
      </c>
    </row>
    <row r="478" spans="1:11" x14ac:dyDescent="0.35">
      <c r="A478" t="s">
        <v>527</v>
      </c>
      <c r="B478" s="2">
        <v>46327</v>
      </c>
      <c r="C478" t="s">
        <v>38</v>
      </c>
      <c r="D478" t="s">
        <v>32</v>
      </c>
      <c r="E478" t="s">
        <v>29</v>
      </c>
      <c r="F478" t="s">
        <v>36</v>
      </c>
      <c r="G478">
        <v>5</v>
      </c>
      <c r="H478">
        <v>834</v>
      </c>
      <c r="I478">
        <v>4170</v>
      </c>
      <c r="J478" s="6" t="str">
        <f t="shared" si="14"/>
        <v>Nov</v>
      </c>
      <c r="K478">
        <f t="shared" si="15"/>
        <v>4170</v>
      </c>
    </row>
    <row r="479" spans="1:11" x14ac:dyDescent="0.35">
      <c r="A479" t="s">
        <v>528</v>
      </c>
      <c r="B479" s="2">
        <v>46253</v>
      </c>
      <c r="C479" t="s">
        <v>85</v>
      </c>
      <c r="D479" t="s">
        <v>39</v>
      </c>
      <c r="E479" t="s">
        <v>17</v>
      </c>
      <c r="F479" t="s">
        <v>13</v>
      </c>
      <c r="G479">
        <v>6</v>
      </c>
      <c r="H479">
        <v>43368</v>
      </c>
      <c r="I479">
        <v>260208</v>
      </c>
      <c r="J479" s="6" t="str">
        <f t="shared" si="14"/>
        <v>Aug</v>
      </c>
      <c r="K479">
        <f t="shared" si="15"/>
        <v>260208</v>
      </c>
    </row>
    <row r="480" spans="1:11" x14ac:dyDescent="0.35">
      <c r="A480" t="s">
        <v>529</v>
      </c>
      <c r="B480" s="2">
        <v>46244</v>
      </c>
      <c r="C480" t="s">
        <v>27</v>
      </c>
      <c r="D480" t="s">
        <v>32</v>
      </c>
      <c r="E480" t="s">
        <v>29</v>
      </c>
      <c r="F480" t="s">
        <v>18</v>
      </c>
      <c r="G480">
        <v>5</v>
      </c>
      <c r="H480">
        <v>856</v>
      </c>
      <c r="I480">
        <v>4280</v>
      </c>
      <c r="J480" s="6" t="str">
        <f t="shared" si="14"/>
        <v>Aug</v>
      </c>
      <c r="K480">
        <f t="shared" si="15"/>
        <v>4280</v>
      </c>
    </row>
    <row r="481" spans="1:11" x14ac:dyDescent="0.35">
      <c r="A481" t="s">
        <v>530</v>
      </c>
      <c r="B481" s="2">
        <v>46339</v>
      </c>
      <c r="C481" t="s">
        <v>111</v>
      </c>
      <c r="D481" t="s">
        <v>11</v>
      </c>
      <c r="E481" t="s">
        <v>12</v>
      </c>
      <c r="F481" t="s">
        <v>13</v>
      </c>
      <c r="G481">
        <v>4</v>
      </c>
      <c r="H481">
        <v>1681</v>
      </c>
      <c r="I481">
        <v>6724</v>
      </c>
      <c r="J481" s="6" t="str">
        <f t="shared" si="14"/>
        <v>Nov</v>
      </c>
      <c r="K481">
        <f t="shared" si="15"/>
        <v>6724</v>
      </c>
    </row>
    <row r="482" spans="1:11" x14ac:dyDescent="0.35">
      <c r="A482" t="s">
        <v>531</v>
      </c>
      <c r="B482" s="2">
        <v>46101</v>
      </c>
      <c r="C482" t="s">
        <v>38</v>
      </c>
      <c r="D482" t="s">
        <v>50</v>
      </c>
      <c r="E482" t="s">
        <v>51</v>
      </c>
      <c r="F482" t="s">
        <v>13</v>
      </c>
      <c r="G482">
        <v>1</v>
      </c>
      <c r="H482">
        <v>233</v>
      </c>
      <c r="I482">
        <v>233</v>
      </c>
      <c r="J482" s="6" t="str">
        <f t="shared" si="14"/>
        <v>Mar</v>
      </c>
      <c r="K482">
        <f t="shared" si="15"/>
        <v>233</v>
      </c>
    </row>
    <row r="483" spans="1:11" x14ac:dyDescent="0.35">
      <c r="A483" t="s">
        <v>532</v>
      </c>
      <c r="B483" s="2">
        <v>46077</v>
      </c>
      <c r="C483" t="s">
        <v>15</v>
      </c>
      <c r="D483" t="s">
        <v>50</v>
      </c>
      <c r="E483" t="s">
        <v>51</v>
      </c>
      <c r="F483" t="s">
        <v>33</v>
      </c>
      <c r="G483">
        <v>4</v>
      </c>
      <c r="H483">
        <v>243</v>
      </c>
      <c r="I483">
        <v>972</v>
      </c>
      <c r="J483" s="6" t="str">
        <f t="shared" si="14"/>
        <v>Feb</v>
      </c>
      <c r="K483">
        <f t="shared" si="15"/>
        <v>972</v>
      </c>
    </row>
    <row r="484" spans="1:11" x14ac:dyDescent="0.35">
      <c r="A484" t="s">
        <v>533</v>
      </c>
      <c r="B484" s="2">
        <v>46161</v>
      </c>
      <c r="C484" t="s">
        <v>31</v>
      </c>
      <c r="D484" t="s">
        <v>59</v>
      </c>
      <c r="E484" t="s">
        <v>29</v>
      </c>
      <c r="F484" t="s">
        <v>13</v>
      </c>
      <c r="G484">
        <v>4</v>
      </c>
      <c r="H484">
        <v>1173</v>
      </c>
      <c r="I484">
        <v>4692</v>
      </c>
      <c r="J484" s="6" t="str">
        <f t="shared" si="14"/>
        <v>May</v>
      </c>
      <c r="K484">
        <f t="shared" si="15"/>
        <v>4692</v>
      </c>
    </row>
    <row r="485" spans="1:11" x14ac:dyDescent="0.35">
      <c r="A485" t="s">
        <v>534</v>
      </c>
      <c r="B485" s="2">
        <v>46308</v>
      </c>
      <c r="C485" t="s">
        <v>22</v>
      </c>
      <c r="D485" t="s">
        <v>46</v>
      </c>
      <c r="E485" t="s">
        <v>17</v>
      </c>
      <c r="F485" t="s">
        <v>18</v>
      </c>
      <c r="G485">
        <v>2</v>
      </c>
      <c r="H485">
        <v>21757</v>
      </c>
      <c r="I485">
        <v>43514</v>
      </c>
      <c r="J485" s="6" t="str">
        <f t="shared" si="14"/>
        <v>Oct</v>
      </c>
      <c r="K485">
        <f t="shared" si="15"/>
        <v>43514</v>
      </c>
    </row>
    <row r="486" spans="1:11" x14ac:dyDescent="0.35">
      <c r="A486" t="s">
        <v>535</v>
      </c>
      <c r="B486" s="2">
        <v>46204</v>
      </c>
      <c r="C486" t="s">
        <v>22</v>
      </c>
      <c r="D486" t="s">
        <v>20</v>
      </c>
      <c r="E486" t="s">
        <v>17</v>
      </c>
      <c r="F486" t="s">
        <v>33</v>
      </c>
      <c r="G486">
        <v>1</v>
      </c>
      <c r="H486">
        <v>13863</v>
      </c>
      <c r="I486">
        <v>13863</v>
      </c>
      <c r="J486" s="6" t="str">
        <f t="shared" si="14"/>
        <v>Jul</v>
      </c>
      <c r="K486">
        <f t="shared" si="15"/>
        <v>13863</v>
      </c>
    </row>
    <row r="487" spans="1:11" x14ac:dyDescent="0.35">
      <c r="A487" t="s">
        <v>536</v>
      </c>
      <c r="B487" s="2">
        <v>46220</v>
      </c>
      <c r="C487" t="s">
        <v>80</v>
      </c>
      <c r="D487" t="s">
        <v>23</v>
      </c>
      <c r="E487" t="s">
        <v>24</v>
      </c>
      <c r="F487" t="s">
        <v>36</v>
      </c>
      <c r="G487">
        <v>5</v>
      </c>
      <c r="H487">
        <v>7319</v>
      </c>
      <c r="I487">
        <v>36595</v>
      </c>
      <c r="J487" s="6" t="str">
        <f t="shared" si="14"/>
        <v>Jul</v>
      </c>
      <c r="K487">
        <f t="shared" si="15"/>
        <v>36595</v>
      </c>
    </row>
    <row r="488" spans="1:11" x14ac:dyDescent="0.35">
      <c r="A488" t="s">
        <v>537</v>
      </c>
      <c r="B488" s="2">
        <v>46309</v>
      </c>
      <c r="C488" t="s">
        <v>10</v>
      </c>
      <c r="D488" t="s">
        <v>20</v>
      </c>
      <c r="E488" t="s">
        <v>17</v>
      </c>
      <c r="F488" t="s">
        <v>18</v>
      </c>
      <c r="G488">
        <v>4</v>
      </c>
      <c r="H488">
        <v>15670</v>
      </c>
      <c r="I488">
        <v>62680</v>
      </c>
      <c r="J488" s="6" t="str">
        <f t="shared" si="14"/>
        <v>Oct</v>
      </c>
      <c r="K488">
        <f t="shared" si="15"/>
        <v>62680</v>
      </c>
    </row>
    <row r="489" spans="1:11" x14ac:dyDescent="0.35">
      <c r="A489" t="s">
        <v>538</v>
      </c>
      <c r="B489" s="2">
        <v>46109</v>
      </c>
      <c r="C489" t="s">
        <v>75</v>
      </c>
      <c r="D489" t="s">
        <v>42</v>
      </c>
      <c r="E489" t="s">
        <v>24</v>
      </c>
      <c r="F489" t="s">
        <v>36</v>
      </c>
      <c r="G489">
        <v>2</v>
      </c>
      <c r="H489">
        <v>8752</v>
      </c>
      <c r="I489">
        <v>17504</v>
      </c>
      <c r="J489" s="6" t="str">
        <f t="shared" si="14"/>
        <v>Mar</v>
      </c>
      <c r="K489">
        <f t="shared" si="15"/>
        <v>17504</v>
      </c>
    </row>
    <row r="490" spans="1:11" x14ac:dyDescent="0.35">
      <c r="A490" t="s">
        <v>539</v>
      </c>
      <c r="B490" s="2">
        <v>46055</v>
      </c>
      <c r="C490" t="s">
        <v>27</v>
      </c>
      <c r="D490" t="s">
        <v>59</v>
      </c>
      <c r="E490" t="s">
        <v>29</v>
      </c>
      <c r="F490" t="s">
        <v>25</v>
      </c>
      <c r="G490">
        <v>3</v>
      </c>
      <c r="H490">
        <v>1199</v>
      </c>
      <c r="I490">
        <v>3597</v>
      </c>
      <c r="J490" s="6" t="str">
        <f t="shared" si="14"/>
        <v>Feb</v>
      </c>
      <c r="K490">
        <f t="shared" si="15"/>
        <v>3597</v>
      </c>
    </row>
    <row r="491" spans="1:11" x14ac:dyDescent="0.35">
      <c r="A491" t="s">
        <v>540</v>
      </c>
      <c r="B491" s="2">
        <v>46062</v>
      </c>
      <c r="C491" t="s">
        <v>41</v>
      </c>
      <c r="D491" t="s">
        <v>59</v>
      </c>
      <c r="E491" t="s">
        <v>29</v>
      </c>
      <c r="F491" t="s">
        <v>36</v>
      </c>
      <c r="G491">
        <v>4</v>
      </c>
      <c r="H491">
        <v>1162</v>
      </c>
      <c r="I491">
        <v>4648</v>
      </c>
      <c r="J491" s="6" t="str">
        <f t="shared" si="14"/>
        <v>Feb</v>
      </c>
      <c r="K491">
        <f t="shared" si="15"/>
        <v>4648</v>
      </c>
    </row>
    <row r="492" spans="1:11" x14ac:dyDescent="0.35">
      <c r="A492" t="s">
        <v>541</v>
      </c>
      <c r="B492" s="2">
        <v>46327</v>
      </c>
      <c r="C492" t="s">
        <v>35</v>
      </c>
      <c r="D492" t="s">
        <v>28</v>
      </c>
      <c r="E492" t="s">
        <v>29</v>
      </c>
      <c r="F492" t="s">
        <v>13</v>
      </c>
      <c r="G492">
        <v>6</v>
      </c>
      <c r="H492">
        <v>2550</v>
      </c>
      <c r="I492">
        <v>15300</v>
      </c>
      <c r="J492" s="6" t="str">
        <f t="shared" si="14"/>
        <v>Nov</v>
      </c>
      <c r="K492">
        <f t="shared" si="15"/>
        <v>15300</v>
      </c>
    </row>
    <row r="493" spans="1:11" x14ac:dyDescent="0.35">
      <c r="A493" t="s">
        <v>542</v>
      </c>
      <c r="B493" s="2">
        <v>46026</v>
      </c>
      <c r="C493" t="s">
        <v>38</v>
      </c>
      <c r="D493" t="s">
        <v>91</v>
      </c>
      <c r="E493" t="s">
        <v>17</v>
      </c>
      <c r="F493" t="s">
        <v>36</v>
      </c>
      <c r="G493">
        <v>1</v>
      </c>
      <c r="H493">
        <v>11300</v>
      </c>
      <c r="I493">
        <v>11300</v>
      </c>
      <c r="J493" s="6" t="str">
        <f t="shared" si="14"/>
        <v>Jan</v>
      </c>
      <c r="K493">
        <f t="shared" si="15"/>
        <v>11300</v>
      </c>
    </row>
    <row r="494" spans="1:11" x14ac:dyDescent="0.35">
      <c r="A494" t="s">
        <v>543</v>
      </c>
      <c r="B494" s="2">
        <v>46191</v>
      </c>
      <c r="C494" t="s">
        <v>57</v>
      </c>
      <c r="D494" t="s">
        <v>23</v>
      </c>
      <c r="E494" t="s">
        <v>24</v>
      </c>
      <c r="F494" t="s">
        <v>36</v>
      </c>
      <c r="G494">
        <v>4</v>
      </c>
      <c r="H494">
        <v>7341</v>
      </c>
      <c r="I494">
        <v>29364</v>
      </c>
      <c r="J494" s="6" t="str">
        <f t="shared" si="14"/>
        <v>Jun</v>
      </c>
      <c r="K494">
        <f t="shared" si="15"/>
        <v>29364</v>
      </c>
    </row>
    <row r="495" spans="1:11" x14ac:dyDescent="0.35">
      <c r="A495" t="s">
        <v>544</v>
      </c>
      <c r="B495" s="2">
        <v>46092</v>
      </c>
      <c r="C495" t="s">
        <v>111</v>
      </c>
      <c r="D495" t="s">
        <v>20</v>
      </c>
      <c r="E495" t="s">
        <v>17</v>
      </c>
      <c r="F495" t="s">
        <v>36</v>
      </c>
      <c r="G495">
        <v>6</v>
      </c>
      <c r="H495">
        <v>16138</v>
      </c>
      <c r="I495">
        <v>96828</v>
      </c>
      <c r="J495" s="6" t="str">
        <f t="shared" si="14"/>
        <v>Mar</v>
      </c>
      <c r="K495">
        <f t="shared" si="15"/>
        <v>96828</v>
      </c>
    </row>
    <row r="496" spans="1:11" x14ac:dyDescent="0.35">
      <c r="A496" t="s">
        <v>545</v>
      </c>
      <c r="B496" s="2">
        <v>46183</v>
      </c>
      <c r="C496" t="s">
        <v>27</v>
      </c>
      <c r="D496" t="s">
        <v>23</v>
      </c>
      <c r="E496" t="s">
        <v>24</v>
      </c>
      <c r="F496" t="s">
        <v>25</v>
      </c>
      <c r="G496">
        <v>6</v>
      </c>
      <c r="H496">
        <v>6665</v>
      </c>
      <c r="I496">
        <v>39990</v>
      </c>
      <c r="J496" s="6" t="str">
        <f t="shared" si="14"/>
        <v>Jun</v>
      </c>
      <c r="K496">
        <f t="shared" si="15"/>
        <v>39990</v>
      </c>
    </row>
    <row r="497" spans="1:11" x14ac:dyDescent="0.35">
      <c r="A497" t="s">
        <v>546</v>
      </c>
      <c r="B497" s="2">
        <v>46347</v>
      </c>
      <c r="C497" t="s">
        <v>85</v>
      </c>
      <c r="D497" t="s">
        <v>32</v>
      </c>
      <c r="E497" t="s">
        <v>29</v>
      </c>
      <c r="F497" t="s">
        <v>18</v>
      </c>
      <c r="G497">
        <v>3</v>
      </c>
      <c r="H497">
        <v>830</v>
      </c>
      <c r="I497">
        <v>2490</v>
      </c>
      <c r="J497" s="6" t="str">
        <f t="shared" si="14"/>
        <v>Nov</v>
      </c>
      <c r="K497">
        <f t="shared" si="15"/>
        <v>2490</v>
      </c>
    </row>
    <row r="498" spans="1:11" x14ac:dyDescent="0.35">
      <c r="A498" t="s">
        <v>547</v>
      </c>
      <c r="B498" s="2">
        <v>46224</v>
      </c>
      <c r="C498" t="s">
        <v>41</v>
      </c>
      <c r="D498" t="s">
        <v>28</v>
      </c>
      <c r="E498" t="s">
        <v>29</v>
      </c>
      <c r="F498" t="s">
        <v>33</v>
      </c>
      <c r="G498">
        <v>3</v>
      </c>
      <c r="H498">
        <v>2450</v>
      </c>
      <c r="I498">
        <v>7350</v>
      </c>
      <c r="J498" s="6" t="str">
        <f t="shared" si="14"/>
        <v>Jul</v>
      </c>
      <c r="K498">
        <f t="shared" si="15"/>
        <v>7350</v>
      </c>
    </row>
    <row r="499" spans="1:11" x14ac:dyDescent="0.35">
      <c r="A499" t="s">
        <v>548</v>
      </c>
      <c r="B499" s="2">
        <v>46302</v>
      </c>
      <c r="C499" t="s">
        <v>27</v>
      </c>
      <c r="D499" t="s">
        <v>23</v>
      </c>
      <c r="E499" t="s">
        <v>24</v>
      </c>
      <c r="F499" t="s">
        <v>18</v>
      </c>
      <c r="G499">
        <v>2</v>
      </c>
      <c r="H499">
        <v>7103</v>
      </c>
      <c r="I499">
        <v>14206</v>
      </c>
      <c r="J499" s="6" t="str">
        <f t="shared" si="14"/>
        <v>Oct</v>
      </c>
      <c r="K499">
        <f t="shared" si="15"/>
        <v>14206</v>
      </c>
    </row>
    <row r="500" spans="1:11" x14ac:dyDescent="0.35">
      <c r="A500" t="s">
        <v>549</v>
      </c>
      <c r="B500" s="2">
        <v>46385</v>
      </c>
      <c r="C500" t="s">
        <v>48</v>
      </c>
      <c r="D500" t="s">
        <v>39</v>
      </c>
      <c r="E500" t="s">
        <v>17</v>
      </c>
      <c r="F500" t="s">
        <v>25</v>
      </c>
      <c r="G500">
        <v>6</v>
      </c>
      <c r="H500">
        <v>44724</v>
      </c>
      <c r="I500">
        <v>268344</v>
      </c>
      <c r="J500" s="6" t="str">
        <f t="shared" si="14"/>
        <v>Dec</v>
      </c>
      <c r="K500">
        <f t="shared" si="15"/>
        <v>268344</v>
      </c>
    </row>
    <row r="501" spans="1:11" x14ac:dyDescent="0.35">
      <c r="A501" t="s">
        <v>550</v>
      </c>
      <c r="B501" s="2">
        <v>46232</v>
      </c>
      <c r="C501" t="s">
        <v>85</v>
      </c>
      <c r="D501" t="s">
        <v>59</v>
      </c>
      <c r="E501" t="s">
        <v>29</v>
      </c>
      <c r="F501" t="s">
        <v>13</v>
      </c>
      <c r="G501">
        <v>6</v>
      </c>
      <c r="H501">
        <v>1117</v>
      </c>
      <c r="I501">
        <v>6702</v>
      </c>
      <c r="J501" s="6" t="str">
        <f t="shared" si="14"/>
        <v>Jul</v>
      </c>
      <c r="K501">
        <f t="shared" si="15"/>
        <v>6702</v>
      </c>
    </row>
  </sheetData>
  <dataConsolidate/>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B3C06-D770-47D3-A4CB-6281B64335B1}">
  <sheetPr>
    <pageSetUpPr fitToPage="1"/>
  </sheetPr>
  <dimension ref="B9:AG30"/>
  <sheetViews>
    <sheetView showGridLines="0" showRowColHeaders="0" zoomScale="45" zoomScaleNormal="45" workbookViewId="0">
      <selection activeCell="AB20" sqref="AB20"/>
    </sheetView>
  </sheetViews>
  <sheetFormatPr defaultRowHeight="14.5" x14ac:dyDescent="0.35"/>
  <sheetData>
    <row r="9" spans="2:33" x14ac:dyDescent="0.35">
      <c r="G9" s="10"/>
    </row>
    <row r="12" spans="2:33" x14ac:dyDescent="0.35">
      <c r="G12" t="s">
        <v>568</v>
      </c>
    </row>
    <row r="13" spans="2:33" x14ac:dyDescent="0.35">
      <c r="I13" s="9"/>
      <c r="P13" s="22"/>
    </row>
    <row r="14" spans="2:33" ht="17.5" x14ac:dyDescent="0.35">
      <c r="B14" s="11"/>
      <c r="P14" s="21"/>
    </row>
    <row r="15" spans="2:33" ht="44.5" x14ac:dyDescent="0.85">
      <c r="B15" s="12"/>
      <c r="L15" s="13"/>
      <c r="AG15" s="20"/>
    </row>
    <row r="16" spans="2:33" ht="17.5" x14ac:dyDescent="0.35">
      <c r="B16" s="11"/>
      <c r="L16" s="14"/>
    </row>
    <row r="17" spans="2:15" ht="17.5" x14ac:dyDescent="0.35">
      <c r="B17" s="11"/>
      <c r="L17" s="14"/>
      <c r="O17" s="13"/>
    </row>
    <row r="18" spans="2:15" ht="17.5" x14ac:dyDescent="0.35">
      <c r="B18" s="11"/>
      <c r="L18" s="14"/>
      <c r="O18" s="14"/>
    </row>
    <row r="19" spans="2:15" x14ac:dyDescent="0.35">
      <c r="L19" s="14"/>
      <c r="O19" s="14"/>
    </row>
    <row r="20" spans="2:15" x14ac:dyDescent="0.35">
      <c r="L20" s="14"/>
      <c r="O20" s="14"/>
    </row>
    <row r="21" spans="2:15" x14ac:dyDescent="0.35">
      <c r="L21" s="14"/>
      <c r="O21" s="14"/>
    </row>
    <row r="22" spans="2:15" x14ac:dyDescent="0.35">
      <c r="L22" s="14"/>
      <c r="O22" s="14"/>
    </row>
    <row r="23" spans="2:15" x14ac:dyDescent="0.35">
      <c r="L23" s="14"/>
      <c r="O23" s="14"/>
    </row>
    <row r="24" spans="2:15" x14ac:dyDescent="0.35">
      <c r="L24" s="14"/>
      <c r="O24" s="14"/>
    </row>
    <row r="25" spans="2:15" x14ac:dyDescent="0.35">
      <c r="L25" s="14"/>
      <c r="O25" s="14"/>
    </row>
    <row r="26" spans="2:15" x14ac:dyDescent="0.35">
      <c r="L26" s="14"/>
      <c r="O26" s="14"/>
    </row>
    <row r="27" spans="2:15" ht="17.5" x14ac:dyDescent="0.35">
      <c r="L27" s="13"/>
      <c r="O27" s="14"/>
    </row>
    <row r="28" spans="2:15" x14ac:dyDescent="0.35">
      <c r="L28" s="15"/>
      <c r="O28" s="14"/>
    </row>
    <row r="29" spans="2:15" ht="17.5" x14ac:dyDescent="0.35">
      <c r="O29" s="13"/>
    </row>
    <row r="30" spans="2:15" x14ac:dyDescent="0.35">
      <c r="O30" s="15"/>
    </row>
  </sheetData>
  <pageMargins left="0.7" right="0.7" top="0.75" bottom="0.75" header="0.3" footer="0.3"/>
  <pageSetup scale="32"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633AC-E925-4436-8F8E-DC99D0C4F349}">
  <dimension ref="A1:B18"/>
  <sheetViews>
    <sheetView showGridLines="0" topLeftCell="A6" workbookViewId="0">
      <selection activeCell="F3" sqref="F3"/>
    </sheetView>
  </sheetViews>
  <sheetFormatPr defaultRowHeight="14.5" x14ac:dyDescent="0.35"/>
  <cols>
    <col min="2" max="2" width="33.6328125" customWidth="1"/>
  </cols>
  <sheetData>
    <row r="1" spans="1:2" ht="29" x14ac:dyDescent="0.35">
      <c r="A1" s="16" t="s">
        <v>569</v>
      </c>
      <c r="B1" s="16" t="s">
        <v>570</v>
      </c>
    </row>
    <row r="2" spans="1:2" ht="29" x14ac:dyDescent="0.35">
      <c r="A2" s="14">
        <v>1</v>
      </c>
      <c r="B2" s="14" t="s">
        <v>571</v>
      </c>
    </row>
    <row r="3" spans="1:2" ht="43.5" x14ac:dyDescent="0.35">
      <c r="A3" s="14">
        <v>2</v>
      </c>
      <c r="B3" s="18" t="s">
        <v>572</v>
      </c>
    </row>
    <row r="4" spans="1:2" ht="43.5" x14ac:dyDescent="0.35">
      <c r="A4" s="14">
        <v>3</v>
      </c>
      <c r="B4" s="18" t="s">
        <v>573</v>
      </c>
    </row>
    <row r="5" spans="1:2" ht="29" x14ac:dyDescent="0.35">
      <c r="A5" s="14">
        <v>4</v>
      </c>
      <c r="B5" s="18" t="s">
        <v>574</v>
      </c>
    </row>
    <row r="6" spans="1:2" ht="29" x14ac:dyDescent="0.35">
      <c r="A6" s="14">
        <v>5</v>
      </c>
      <c r="B6" s="18" t="s">
        <v>575</v>
      </c>
    </row>
    <row r="7" spans="1:2" ht="29" x14ac:dyDescent="0.35">
      <c r="A7" s="14">
        <v>6</v>
      </c>
      <c r="B7" s="18" t="s">
        <v>576</v>
      </c>
    </row>
    <row r="8" spans="1:2" ht="29" x14ac:dyDescent="0.35">
      <c r="A8" s="14">
        <v>7</v>
      </c>
      <c r="B8" s="18" t="s">
        <v>577</v>
      </c>
    </row>
    <row r="9" spans="1:2" ht="29" x14ac:dyDescent="0.35">
      <c r="A9" s="14">
        <v>8</v>
      </c>
      <c r="B9" s="18" t="s">
        <v>578</v>
      </c>
    </row>
    <row r="10" spans="1:2" ht="29" x14ac:dyDescent="0.35">
      <c r="A10" s="14">
        <v>9</v>
      </c>
      <c r="B10" s="18" t="s">
        <v>579</v>
      </c>
    </row>
    <row r="12" spans="1:2" x14ac:dyDescent="0.35">
      <c r="A12" s="17" t="s">
        <v>580</v>
      </c>
    </row>
    <row r="13" spans="1:2" x14ac:dyDescent="0.35">
      <c r="A13" s="19"/>
    </row>
    <row r="14" spans="1:2" x14ac:dyDescent="0.35">
      <c r="A14" s="19"/>
      <c r="B14" t="s">
        <v>581</v>
      </c>
    </row>
    <row r="15" spans="1:2" x14ac:dyDescent="0.35">
      <c r="A15" s="19"/>
      <c r="B15" t="s">
        <v>582</v>
      </c>
    </row>
    <row r="16" spans="1:2" x14ac:dyDescent="0.35">
      <c r="A16" s="19"/>
      <c r="B16" t="s">
        <v>583</v>
      </c>
    </row>
    <row r="17" spans="1:2" x14ac:dyDescent="0.35">
      <c r="A17" s="19"/>
      <c r="B17" t="s">
        <v>584</v>
      </c>
    </row>
    <row r="18" spans="1:2" x14ac:dyDescent="0.35">
      <c r="A18" s="19"/>
      <c r="B18" t="s">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1766F-7770-4FB6-89F8-76C198B7583C}">
  <dimension ref="A3:G27"/>
  <sheetViews>
    <sheetView topLeftCell="A2" workbookViewId="0">
      <selection activeCell="B4" sqref="B4:B8"/>
    </sheetView>
  </sheetViews>
  <sheetFormatPr defaultRowHeight="14.5" x14ac:dyDescent="0.35"/>
  <cols>
    <col min="1" max="1" width="12.36328125" bestFit="1" customWidth="1"/>
    <col min="2" max="2" width="11.26953125" bestFit="1" customWidth="1"/>
    <col min="4" max="4" width="12.36328125" bestFit="1" customWidth="1"/>
    <col min="5" max="5" width="11.26953125" bestFit="1" customWidth="1"/>
    <col min="6" max="6" width="12.36328125" bestFit="1" customWidth="1"/>
    <col min="7" max="7" width="11.26953125" bestFit="1" customWidth="1"/>
  </cols>
  <sheetData>
    <row r="3" spans="1:7" x14ac:dyDescent="0.35">
      <c r="A3" s="7" t="s">
        <v>553</v>
      </c>
      <c r="B3" t="s">
        <v>555</v>
      </c>
      <c r="D3" s="7" t="s">
        <v>553</v>
      </c>
      <c r="E3" t="s">
        <v>555</v>
      </c>
    </row>
    <row r="4" spans="1:7" x14ac:dyDescent="0.35">
      <c r="A4" s="3" t="s">
        <v>36</v>
      </c>
      <c r="B4" s="8">
        <v>3612981</v>
      </c>
      <c r="D4" s="3" t="s">
        <v>29</v>
      </c>
      <c r="E4" s="8">
        <v>760021</v>
      </c>
    </row>
    <row r="5" spans="1:7" x14ac:dyDescent="0.35">
      <c r="A5" s="3" t="s">
        <v>33</v>
      </c>
      <c r="B5" s="8">
        <v>3848520</v>
      </c>
      <c r="D5" s="3" t="s">
        <v>12</v>
      </c>
      <c r="E5" s="8">
        <v>268586</v>
      </c>
    </row>
    <row r="6" spans="1:7" x14ac:dyDescent="0.35">
      <c r="A6" s="3" t="s">
        <v>25</v>
      </c>
      <c r="B6" s="8">
        <v>3850466</v>
      </c>
      <c r="D6" s="3" t="s">
        <v>17</v>
      </c>
      <c r="E6" s="8">
        <v>16170921</v>
      </c>
      <c r="G6" s="3"/>
    </row>
    <row r="7" spans="1:7" x14ac:dyDescent="0.35">
      <c r="A7" s="3" t="s">
        <v>18</v>
      </c>
      <c r="B7" s="8">
        <v>3853147</v>
      </c>
      <c r="D7" s="3" t="s">
        <v>24</v>
      </c>
      <c r="E7" s="8">
        <v>2145185</v>
      </c>
      <c r="G7" s="3"/>
    </row>
    <row r="8" spans="1:7" x14ac:dyDescent="0.35">
      <c r="A8" s="3" t="s">
        <v>13</v>
      </c>
      <c r="B8" s="8">
        <v>4210035</v>
      </c>
      <c r="D8" s="3" t="s">
        <v>51</v>
      </c>
      <c r="E8" s="8">
        <v>30436</v>
      </c>
      <c r="G8" s="3"/>
    </row>
    <row r="9" spans="1:7" x14ac:dyDescent="0.35">
      <c r="A9" s="3" t="s">
        <v>554</v>
      </c>
      <c r="B9">
        <v>19375149</v>
      </c>
      <c r="D9" s="3" t="s">
        <v>554</v>
      </c>
      <c r="E9">
        <v>19375149</v>
      </c>
      <c r="G9" s="3"/>
    </row>
    <row r="10" spans="1:7" x14ac:dyDescent="0.35">
      <c r="G10" s="3"/>
    </row>
    <row r="11" spans="1:7" x14ac:dyDescent="0.35">
      <c r="A11" s="7" t="s">
        <v>553</v>
      </c>
      <c r="B11" t="s">
        <v>555</v>
      </c>
      <c r="D11" s="7" t="s">
        <v>553</v>
      </c>
      <c r="E11" t="s">
        <v>555</v>
      </c>
    </row>
    <row r="12" spans="1:7" x14ac:dyDescent="0.35">
      <c r="A12" s="3" t="s">
        <v>11</v>
      </c>
      <c r="B12" s="8">
        <v>268586</v>
      </c>
      <c r="D12" s="3" t="s">
        <v>556</v>
      </c>
      <c r="E12" s="8">
        <v>1686496</v>
      </c>
    </row>
    <row r="13" spans="1:7" x14ac:dyDescent="0.35">
      <c r="A13" s="3" t="s">
        <v>23</v>
      </c>
      <c r="B13" s="8">
        <v>1076957</v>
      </c>
      <c r="D13" s="3" t="s">
        <v>557</v>
      </c>
      <c r="E13" s="8">
        <v>1107503</v>
      </c>
    </row>
    <row r="14" spans="1:7" x14ac:dyDescent="0.35">
      <c r="A14" s="3" t="s">
        <v>28</v>
      </c>
      <c r="B14" s="8">
        <v>444694</v>
      </c>
      <c r="D14" s="3" t="s">
        <v>558</v>
      </c>
      <c r="E14" s="8">
        <v>1621402</v>
      </c>
    </row>
    <row r="15" spans="1:7" x14ac:dyDescent="0.35">
      <c r="A15" s="3" t="s">
        <v>59</v>
      </c>
      <c r="B15" s="8">
        <v>186384</v>
      </c>
      <c r="D15" s="3" t="s">
        <v>559</v>
      </c>
      <c r="E15" s="8">
        <v>1092208</v>
      </c>
      <c r="F15" s="7" t="s">
        <v>553</v>
      </c>
      <c r="G15" t="s">
        <v>555</v>
      </c>
    </row>
    <row r="16" spans="1:7" x14ac:dyDescent="0.35">
      <c r="A16" s="3" t="s">
        <v>39</v>
      </c>
      <c r="B16" s="8">
        <v>6425463</v>
      </c>
      <c r="D16" s="3" t="s">
        <v>560</v>
      </c>
      <c r="E16" s="8">
        <v>1703089</v>
      </c>
      <c r="F16" s="3" t="s">
        <v>48</v>
      </c>
      <c r="G16">
        <v>943506</v>
      </c>
    </row>
    <row r="17" spans="1:7" x14ac:dyDescent="0.35">
      <c r="A17" s="3" t="s">
        <v>46</v>
      </c>
      <c r="B17" s="8">
        <v>2459480</v>
      </c>
      <c r="D17" s="3" t="s">
        <v>561</v>
      </c>
      <c r="E17" s="8">
        <v>1365995</v>
      </c>
      <c r="F17" s="3" t="s">
        <v>85</v>
      </c>
      <c r="G17">
        <v>980527</v>
      </c>
    </row>
    <row r="18" spans="1:7" x14ac:dyDescent="0.35">
      <c r="A18" s="3" t="s">
        <v>20</v>
      </c>
      <c r="B18" s="8">
        <v>3019925</v>
      </c>
      <c r="D18" s="3" t="s">
        <v>562</v>
      </c>
      <c r="E18" s="8">
        <v>1592219</v>
      </c>
      <c r="F18" s="3" t="s">
        <v>57</v>
      </c>
      <c r="G18">
        <v>1000226</v>
      </c>
    </row>
    <row r="19" spans="1:7" x14ac:dyDescent="0.35">
      <c r="A19" s="3" t="s">
        <v>32</v>
      </c>
      <c r="B19" s="8">
        <v>128943</v>
      </c>
      <c r="D19" s="3" t="s">
        <v>563</v>
      </c>
      <c r="E19" s="8">
        <v>1745408</v>
      </c>
      <c r="F19" s="3" t="s">
        <v>31</v>
      </c>
      <c r="G19">
        <v>1039383</v>
      </c>
    </row>
    <row r="20" spans="1:7" x14ac:dyDescent="0.35">
      <c r="A20" s="3" t="s">
        <v>50</v>
      </c>
      <c r="B20" s="8">
        <v>30436</v>
      </c>
      <c r="D20" s="3" t="s">
        <v>564</v>
      </c>
      <c r="E20" s="8">
        <v>1898693</v>
      </c>
      <c r="F20" s="3" t="s">
        <v>38</v>
      </c>
      <c r="G20">
        <v>1069831</v>
      </c>
    </row>
    <row r="21" spans="1:7" x14ac:dyDescent="0.35">
      <c r="A21" s="3" t="s">
        <v>42</v>
      </c>
      <c r="B21" s="8">
        <v>1068228</v>
      </c>
      <c r="D21" s="3" t="s">
        <v>565</v>
      </c>
      <c r="E21" s="8">
        <v>2012022</v>
      </c>
      <c r="F21" s="3" t="s">
        <v>66</v>
      </c>
      <c r="G21">
        <v>1115708</v>
      </c>
    </row>
    <row r="22" spans="1:7" x14ac:dyDescent="0.35">
      <c r="A22" s="3" t="s">
        <v>91</v>
      </c>
      <c r="B22" s="8">
        <v>1591392</v>
      </c>
      <c r="D22" s="3" t="s">
        <v>566</v>
      </c>
      <c r="E22" s="8">
        <v>1560933</v>
      </c>
      <c r="F22" s="3" t="s">
        <v>22</v>
      </c>
      <c r="G22">
        <v>1234509</v>
      </c>
    </row>
    <row r="23" spans="1:7" x14ac:dyDescent="0.35">
      <c r="A23" s="3" t="s">
        <v>16</v>
      </c>
      <c r="B23" s="8">
        <v>2674661</v>
      </c>
      <c r="D23" s="3" t="s">
        <v>567</v>
      </c>
      <c r="E23" s="8">
        <v>1989181</v>
      </c>
      <c r="F23" s="3" t="s">
        <v>102</v>
      </c>
      <c r="G23">
        <v>1330072</v>
      </c>
    </row>
    <row r="24" spans="1:7" x14ac:dyDescent="0.35">
      <c r="A24" s="3" t="s">
        <v>554</v>
      </c>
      <c r="B24">
        <v>19375149</v>
      </c>
      <c r="D24" s="3" t="s">
        <v>554</v>
      </c>
      <c r="E24">
        <v>19375149</v>
      </c>
      <c r="F24" s="3" t="s">
        <v>64</v>
      </c>
      <c r="G24">
        <v>1531999</v>
      </c>
    </row>
    <row r="25" spans="1:7" x14ac:dyDescent="0.35">
      <c r="F25" s="3" t="s">
        <v>62</v>
      </c>
      <c r="G25">
        <v>1917906</v>
      </c>
    </row>
    <row r="26" spans="1:7" x14ac:dyDescent="0.35">
      <c r="B26" t="s">
        <v>555</v>
      </c>
      <c r="F26" s="3" t="s">
        <v>554</v>
      </c>
      <c r="G26">
        <v>12163667</v>
      </c>
    </row>
    <row r="27" spans="1:7" x14ac:dyDescent="0.35">
      <c r="B27">
        <v>19375149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Raw_Data</vt:lpstr>
      <vt:lpstr>dashoards</vt:lpstr>
      <vt:lpstr>insights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Vidhya S</cp:lastModifiedBy>
  <dcterms:created xsi:type="dcterms:W3CDTF">2026-09-14T10:03:07Z</dcterms:created>
  <dcterms:modified xsi:type="dcterms:W3CDTF">2026-10-29T13:49:31Z</dcterms:modified>
</cp:coreProperties>
</file>